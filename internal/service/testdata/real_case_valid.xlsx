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ctrlProps/ctrlProps3.xml" ContentType="application/vnd.ms-excel.controlproperties+xml"/>
  <Override PartName="/xl/ctrlProps/ctrlProps4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начислений" sheetId="1" state="visible" r:id="rId4"/>
    <sheet name="Настройки" sheetId="2" state="visible" r:id="rId5"/>
    <sheet name="Шаблон ДШК" sheetId="3" state="hidden" r:id="rId6"/>
    <sheet name="Шаблон ПД4" sheetId="4" state="hidden" r:id="rId7"/>
    <sheet name="Шаблон ПД жкх" sheetId="5" state="hidden" r:id="rId8"/>
  </sheets>
  <definedNames>
    <definedName function="false" hidden="false" name="BankName" vbProcedure="false">Настройки!$B$8</definedName>
    <definedName function="false" hidden="false" name="BIC" vbProcedure="false">Настройки!$B$6</definedName>
    <definedName function="false" hidden="false" name="codepage" vbProcedure="false">Настройки!$B$13</definedName>
    <definedName function="false" hidden="false" name="CorrespAcc" vbProcedure="false">Настройки!$B$7</definedName>
    <definedName function="false" hidden="false" name="DopParShk" vbProcedure="false">Настройки!$B$12</definedName>
    <definedName function="false" hidden="false" name="ExportPath" vbProcedure="false">Настройки!$B$11</definedName>
    <definedName function="false" hidden="false" name="hardbase" vbProcedure="false">Настройки!$Z$8</definedName>
    <definedName function="false" hidden="false" name="INN" vbProcedure="false">Настройки!$B$4</definedName>
    <definedName function="false" hidden="false" name="ItogCnt" vbProcedure="false">'Реестр начислений'!$B$3</definedName>
    <definedName function="false" hidden="false" name="ItogSum" vbProcedure="false">'Реестр начислений'!$B$2</definedName>
    <definedName function="false" hidden="false" name="KPP" vbProcedure="false">Настройки!$B$5</definedName>
    <definedName function="false" hidden="false" name="Name" vbProcedure="false">Настройки!$B$3</definedName>
    <definedName function="false" hidden="false" name="PD4Purpose" vbProcedure="false">'Шаблон ПД4'!$C$8</definedName>
    <definedName function="false" hidden="false" name="PD4Purpose1" vbProcedure="false">'Шаблон ПД4'!$C$21</definedName>
    <definedName function="false" hidden="false" name="PD4Shanlon" vbProcedure="false">'Шаблон ПД4'!$A$1:$C$27</definedName>
    <definedName function="false" hidden="false" name="PD4Sum" vbProcedure="false">'Шаблон ПД4'!$C$10</definedName>
    <definedName function="false" hidden="false" name="PD4Sum1" vbProcedure="false">'Шаблон ПД4'!$C$23</definedName>
    <definedName function="false" hidden="false" name="PersonalAcc" vbProcedure="false">Настройки!$B$9</definedName>
    <definedName function="false" hidden="false" name="PrintPD4" vbProcedure="false">Настройки!$B$18</definedName>
    <definedName function="false" hidden="false" name="ReestrName" vbProcedure="false">'Реестр начислений'!$B$1</definedName>
    <definedName function="false" hidden="false" name="Shablon" vbProcedure="false">Настройки!$B$2</definedName>
    <definedName function="false" hidden="false" name="typedoc" vbProcedure="false">Настройки!$B$14</definedName>
    <definedName function="false" hidden="false" name="СorrespAcc" vbProcedure="false">Настройки!$B$7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Петрова Людмила Андреевна</author>
  </authors>
  <commentList>
    <comment ref="A13" authorId="0">
      <text>
        <r>
          <rPr>
            <sz val="10"/>
            <rFont val="Arial"/>
            <family val="2"/>
          </rPr>
          <t xml:space="preserve">Петрова Людмила Андреевна:
</t>
        </r>
        <r>
          <rPr>
            <sz val="9"/>
            <color rgb="FF000000"/>
            <rFont val="Tahoma"/>
            <family val="2"/>
            <charset val="204"/>
          </rPr>
          <t xml:space="preserve">Опция пока не используется</t>
        </r>
      </text>
    </comment>
    <comment ref="A14" authorId="0">
      <text>
        <r>
          <rPr>
            <sz val="10"/>
            <rFont val="Arial"/>
            <family val="2"/>
          </rPr>
          <t xml:space="preserve">Петрова Людмила Андреевна:
</t>
        </r>
        <r>
          <rPr>
            <sz val="9"/>
            <color rgb="FF000000"/>
            <rFont val="Tahoma"/>
            <family val="2"/>
            <charset val="204"/>
          </rPr>
          <t xml:space="preserve">Опция пока не используется</t>
        </r>
      </text>
    </comment>
  </commentList>
</comments>
</file>

<file path=xl/sharedStrings.xml><?xml version="1.0" encoding="utf-8"?>
<sst xmlns="http://schemas.openxmlformats.org/spreadsheetml/2006/main" count="520" uniqueCount="389">
  <si>
    <t xml:space="preserve">РЕЕСТР НАЧИСЛЕНИЙ</t>
  </si>
  <si>
    <t xml:space="preserve">Сумма реестра:</t>
  </si>
  <si>
    <t xml:space="preserve">Количество записей:</t>
  </si>
  <si>
    <t xml:space="preserve">Лицевой счет</t>
  </si>
  <si>
    <t xml:space="preserve">ФИО обучающегося</t>
  </si>
  <si>
    <t xml:space="preserve">Назначение</t>
  </si>
  <si>
    <t xml:space="preserve">КБК</t>
  </si>
  <si>
    <t xml:space="preserve">ОКТМО</t>
  </si>
  <si>
    <t xml:space="preserve">ФИО</t>
  </si>
  <si>
    <t xml:space="preserve">Служeбнoе поле</t>
  </si>
  <si>
    <t xml:space="preserve">Сумма</t>
  </si>
  <si>
    <t xml:space="preserve">456</t>
  </si>
  <si>
    <t xml:space="preserve">Петров Петр</t>
  </si>
  <si>
    <t xml:space="preserve">Оплата</t>
  </si>
  <si>
    <t xml:space="preserve">333</t>
  </si>
  <si>
    <t xml:space="preserve">444</t>
  </si>
  <si>
    <t xml:space="preserve">Иванов Иван</t>
  </si>
  <si>
    <t xml:space="preserve">100.50</t>
  </si>
  <si>
    <t xml:space="preserve">Параметр</t>
  </si>
  <si>
    <t xml:space="preserve">Значение</t>
  </si>
  <si>
    <t xml:space="preserve">Шаблоны</t>
  </si>
  <si>
    <t xml:space="preserve">Поля шаблона</t>
  </si>
  <si>
    <t xml:space="preserve">Код кодировки</t>
  </si>
  <si>
    <t xml:space="preserve">Тип квитанции</t>
  </si>
  <si>
    <t xml:space="preserve">Тип печати</t>
  </si>
  <si>
    <t xml:space="preserve">Шаблон</t>
  </si>
  <si>
    <t xml:space="preserve">Типовой бюджетный шаблон 28</t>
  </si>
  <si>
    <t xml:space="preserve">Типовой шаблон 1</t>
  </si>
  <si>
    <t xml:space="preserve">ФИО;Назначение;Сумма</t>
  </si>
  <si>
    <t xml:space="preserve">Карточка</t>
  </si>
  <si>
    <t xml:space="preserve">Одна квитанция на листе</t>
  </si>
  <si>
    <t xml:space="preserve">Наименование организации</t>
  </si>
  <si>
    <t xml:space="preserve">Школа АБВ (12377№7_) ТЕСТ ТЕСТ</t>
  </si>
  <si>
    <t xml:space="preserve">Типовой шаблон 2</t>
  </si>
  <si>
    <t xml:space="preserve">Лицевой счет;ЕЛС;ФИАС;ФИО;Адрес;Дополнительная информация;Сумма</t>
  </si>
  <si>
    <t xml:space="preserve">Полная ПД-4</t>
  </si>
  <si>
    <t xml:space="preserve">Две квитанции на листе</t>
  </si>
  <si>
    <t xml:space="preserve">ИНН</t>
  </si>
  <si>
    <t xml:space="preserve">Типовой шаблон 4</t>
  </si>
  <si>
    <t xml:space="preserve">Номер телефона;ФИО;Адрес;Дополнительная информация;Сумма</t>
  </si>
  <si>
    <t xml:space="preserve">Укороченная ПД-4</t>
  </si>
  <si>
    <t xml:space="preserve">КПП</t>
  </si>
  <si>
    <t xml:space="preserve">Типовой шаблон 6</t>
  </si>
  <si>
    <t xml:space="preserve">ФИО;ЕЛС;ФИАС;Адрес;Назначение;Сумма</t>
  </si>
  <si>
    <t xml:space="preserve">БИК</t>
  </si>
  <si>
    <t xml:space="preserve">0987098980</t>
  </si>
  <si>
    <t xml:space="preserve">Типовой шаблон 7</t>
  </si>
  <si>
    <t xml:space="preserve">Лицевой счет;ЕЛС;ФИАС;ФИО;Адрес;Сумма</t>
  </si>
  <si>
    <t xml:space="preserve">Корреспондентский счет</t>
  </si>
  <si>
    <t xml:space="preserve">7777777777777777777777</t>
  </si>
  <si>
    <t xml:space="preserve">Типовой шаблон 8</t>
  </si>
  <si>
    <t xml:space="preserve">Номер договора;ФИО;Сумма</t>
  </si>
  <si>
    <t xml:space="preserve">Наименование банка</t>
  </si>
  <si>
    <t xml:space="preserve">ОТДЕЛЕНИЕ-НБ РЕСПУБЛИКА ТАТАРСТАН БАНКА ТЕСТ</t>
  </si>
  <si>
    <t xml:space="preserve">Типовой шаблон 9</t>
  </si>
  <si>
    <t xml:space="preserve">Номер договора;ФИО;Адрес;Сумма</t>
  </si>
  <si>
    <t xml:space="preserve">Расчетный счет</t>
  </si>
  <si>
    <t xml:space="preserve">Типовой шаблон 10</t>
  </si>
  <si>
    <t xml:space="preserve">Номер участка;ФИО;Назначение;Сумма</t>
  </si>
  <si>
    <t xml:space="preserve">Код услуги</t>
  </si>
  <si>
    <t xml:space="preserve">Типовой шаблон 12</t>
  </si>
  <si>
    <t xml:space="preserve">ФИО;Адрес;Сумма</t>
  </si>
  <si>
    <t xml:space="preserve">Каталог для выгрузки реестра</t>
  </si>
  <si>
    <t xml:space="preserve">Типовой шаблон 13</t>
  </si>
  <si>
    <t xml:space="preserve">Лицевой счет;ФИО;Адрес;Назначение;Сумма</t>
  </si>
  <si>
    <t xml:space="preserve">Дополнительные параметры ДШК</t>
  </si>
  <si>
    <t xml:space="preserve">CATEGORY=4</t>
  </si>
  <si>
    <t xml:space="preserve">Типовой шаблон 19</t>
  </si>
  <si>
    <t xml:space="preserve">Номер машиноместа;Период оплаты;ФИО;Адрес;Сумма</t>
  </si>
  <si>
    <t xml:space="preserve">Код кодировки текста: 1 – WIN1251 ; 2 – UTF8 ; 3 – КОI8-R</t>
  </si>
  <si>
    <t xml:space="preserve">Типовой шаблон 21</t>
  </si>
  <si>
    <t xml:space="preserve">Лицевой счет;ЕЛС;ФИАС;Адрес;Сумма</t>
  </si>
  <si>
    <t xml:space="preserve">Вид квитанции</t>
  </si>
  <si>
    <t xml:space="preserve">Типовой шаблон 22</t>
  </si>
  <si>
    <t xml:space="preserve">Лицевой счет;ЕЛС;ФИАС;Адрес;Сумма;Период</t>
  </si>
  <si>
    <t xml:space="preserve">Типовой шаблон 24</t>
  </si>
  <si>
    <t xml:space="preserve">Лицевой счет;ЕЛС;ФИАС;ФИО;Адрес;Период;Сумма</t>
  </si>
  <si>
    <t xml:space="preserve">Типовой шаблон 23</t>
  </si>
  <si>
    <t xml:space="preserve">Номер договора;ЕЛС;ФИАС;ФИО;Сумма</t>
  </si>
  <si>
    <t xml:space="preserve">Типовой шаблон 27</t>
  </si>
  <si>
    <t xml:space="preserve">Номер договора;ФИО;Адрес;Дополнительная информация;Сумма</t>
  </si>
  <si>
    <t xml:space="preserve">Печать квитанций ПД4</t>
  </si>
  <si>
    <t xml:space="preserve">Типовой шаблон 28</t>
  </si>
  <si>
    <t xml:space="preserve">Логин;ФИО;Адрес;Дополнительная информация;Сумма</t>
  </si>
  <si>
    <t xml:space="preserve">Типовой шаблон 32</t>
  </si>
  <si>
    <t xml:space="preserve">Номер машиноместа/бокса;ФИО;Адрес;Период;Сумма</t>
  </si>
  <si>
    <t xml:space="preserve">Типовой бюджетный шаблон 1</t>
  </si>
  <si>
    <t xml:space="preserve">ФИО;ФИО ребенка;Адрес;Номер учреждения;Номер группы;Лицевой счет;Период;КБК;ОКТМО;Назначение;Сумма</t>
  </si>
  <si>
    <t xml:space="preserve">Типовой бюджетный шаблон 2</t>
  </si>
  <si>
    <t xml:space="preserve">ФИО;Адрес;ФИО ребенка;КБК;ОКТМО;Сумма</t>
  </si>
  <si>
    <t xml:space="preserve">Типовой бюджетный шаблон 3</t>
  </si>
  <si>
    <t xml:space="preserve">ФИО студента;ФИО;Номер группы;Номер договора;Период;КБК;ОКТМО;Назначение;Сумма</t>
  </si>
  <si>
    <t xml:space="preserve">Типовой бюджетный шаблон 6</t>
  </si>
  <si>
    <t xml:space="preserve">ФИО ребенка;Период;КБК;ОКТМО;Сумма</t>
  </si>
  <si>
    <t xml:space="preserve">Типовой бюджетный шаблон 7</t>
  </si>
  <si>
    <t xml:space="preserve">ФИО ребенка;Лицевой счет;Номер группы;Адрес;КБК;ОКТМО;Сумма</t>
  </si>
  <si>
    <t xml:space="preserve">Типовой бюджетный шаблон 8 (для квитанций)</t>
  </si>
  <si>
    <t xml:space="preserve">ФИО;Адрес;Назначение;КБК;ОКТМО;Сумма</t>
  </si>
  <si>
    <t xml:space="preserve">Типовой бюджетный шаблон 8 (для ФБЗ)</t>
  </si>
  <si>
    <t xml:space="preserve">Назначение;КБК;ОКТМО</t>
  </si>
  <si>
    <t xml:space="preserve">Типовой бюджетный шаблон 9</t>
  </si>
  <si>
    <t xml:space="preserve">ФИО;Адрес;Назначение;УИН;КБК;ОКТМО;Сумма</t>
  </si>
  <si>
    <t xml:space="preserve">Типовой бюджетный шаблон 10</t>
  </si>
  <si>
    <t xml:space="preserve">ФИО;ФИО ребенка;Адрес;Номер группы;Лицевой счет;КБК;ОКТМО;Назначение;Сумма</t>
  </si>
  <si>
    <t xml:space="preserve">Типовой бюджетный шаблон 12</t>
  </si>
  <si>
    <t xml:space="preserve">Лицевой счет;ЕЛС;ФИАС;ФИО;Адрес;КБК;ОКТМО;Сумма</t>
  </si>
  <si>
    <t xml:space="preserve">Типовой бюджетный шаблон 13 (для квитанций)</t>
  </si>
  <si>
    <t xml:space="preserve">ФИО;ФИО ребенка;Назначение;КБК;ОКТМО;Сумма</t>
  </si>
  <si>
    <t xml:space="preserve">Типовой бюджетный шаблон 13 (для ФБЗ)</t>
  </si>
  <si>
    <t xml:space="preserve">Типовой бюджетный шаблон 16</t>
  </si>
  <si>
    <t xml:space="preserve">Лицевой счет;ФИО ребенка;Наименование МОУ;Группа/Кружок;КБК;ОКТМО;Сумма</t>
  </si>
  <si>
    <t xml:space="preserve">Типовой бюджетный шаблон 26</t>
  </si>
  <si>
    <t xml:space="preserve">Номер договора;ФИО ребенка;Дополнительная информация;КБК;ОКТМО;ФИО;Сумма</t>
  </si>
  <si>
    <t xml:space="preserve">Номер договора;ФИО обучающегося;Назначение;КБК;ОКТМО;ФИО;Служeбнoе поле;Сумма</t>
  </si>
  <si>
    <t xml:space="preserve">Типовой бюджетный шаблон 32</t>
  </si>
  <si>
    <t xml:space="preserve">Лицевой счет;ФИО ребенка;Дополнительная информация;КБК;ОКТМО;ФИО;Сумма</t>
  </si>
  <si>
    <t xml:space="preserve">Шаблон 1.1</t>
  </si>
  <si>
    <t xml:space="preserve">Шаблон 1.2</t>
  </si>
  <si>
    <t xml:space="preserve">Шаблон 1.3</t>
  </si>
  <si>
    <t xml:space="preserve">Шаблон 1.4</t>
  </si>
  <si>
    <t xml:space="preserve">Шаблон 1.7</t>
  </si>
  <si>
    <t xml:space="preserve">Нoмер счета на оплату;ФИО;Назначение (список значений);Назначение;КБК;ОКТМО;Сумма</t>
  </si>
  <si>
    <t xml:space="preserve">Шаблон 1.8</t>
  </si>
  <si>
    <t xml:space="preserve">Шаблон 1.9</t>
  </si>
  <si>
    <t xml:space="preserve">ID агента;Номер договора;Сумма</t>
  </si>
  <si>
    <t xml:space="preserve">Шаблон 2.1</t>
  </si>
  <si>
    <t xml:space="preserve">ФИО;Адрес;Назначение;Сумма</t>
  </si>
  <si>
    <t xml:space="preserve">Шаблон 3.1</t>
  </si>
  <si>
    <t xml:space="preserve">Шаблон 3.2</t>
  </si>
  <si>
    <t xml:space="preserve">Шаблон 3.3</t>
  </si>
  <si>
    <t xml:space="preserve">Шаблон 3.4</t>
  </si>
  <si>
    <t xml:space="preserve">Лицевой счет;ФИО ребенка;Номер группы;Период;Назначение;КБК;ОКТМО;Сумма</t>
  </si>
  <si>
    <t xml:space="preserve">Шаблон 3.5</t>
  </si>
  <si>
    <t xml:space="preserve">ФИО;Адрес;ФИО ребенка;Период;КБК;ОКТМО;Сумма</t>
  </si>
  <si>
    <t xml:space="preserve">Шаблон 3.6</t>
  </si>
  <si>
    <t xml:space="preserve">Шаблон 3.7</t>
  </si>
  <si>
    <t xml:space="preserve">Шаблон 3.8(для квитаницй)</t>
  </si>
  <si>
    <t xml:space="preserve">Шаблон 3.8 (для ФБЗ)</t>
  </si>
  <si>
    <t xml:space="preserve">Шаблон 3.9</t>
  </si>
  <si>
    <t xml:space="preserve">Шаблон 3.9 (без УИН)</t>
  </si>
  <si>
    <t xml:space="preserve">Шаблон 3.10</t>
  </si>
  <si>
    <t xml:space="preserve">Шаблон 3.11</t>
  </si>
  <si>
    <t xml:space="preserve">ФИО;Адрес;Назначение;КБК;ОКТМО;Вид ДУЛ;Номер ДУЛ;Сумма</t>
  </si>
  <si>
    <t xml:space="preserve">Шаблон 3.12</t>
  </si>
  <si>
    <t xml:space="preserve">Шаблон 3.13(для квитанций)</t>
  </si>
  <si>
    <t xml:space="preserve">Шаблон 3.13(для ФБЗ)</t>
  </si>
  <si>
    <t xml:space="preserve">Шаблон 3.15</t>
  </si>
  <si>
    <t xml:space="preserve">ФИО;ФИО студента;Номер группы;Номер курса;Вид дохода;Сумма</t>
  </si>
  <si>
    <t xml:space="preserve">Шаблон 3.16</t>
  </si>
  <si>
    <t xml:space="preserve">Шаблон 3.25</t>
  </si>
  <si>
    <t xml:space="preserve">Номер договора;ЕЛС;ФИАС;ФИО обучающегося;Назначение платежа;КБК;ОКТМО;ФИО;Адрес;Сумма</t>
  </si>
  <si>
    <t xml:space="preserve">Шаблон 3.25 (без КБК и ОКТМО)</t>
  </si>
  <si>
    <t xml:space="preserve">Номер договора;ЕЛС;ФИАС;ФИО обучающегося;Назначение платежа;ФИО;Адрес;Сумма</t>
  </si>
  <si>
    <t xml:space="preserve">Шаблон 3.26</t>
  </si>
  <si>
    <t xml:space="preserve">Шаблон 3.27</t>
  </si>
  <si>
    <t xml:space="preserve">СНИЛС;ФИО ребенка;Дополнительная информация;КБК;ОКТМО;ФИО;Сумма</t>
  </si>
  <si>
    <t xml:space="preserve">Шаблон 3.32</t>
  </si>
  <si>
    <t xml:space="preserve">Шаблон 4.1</t>
  </si>
  <si>
    <t xml:space="preserve">ФИО;Адрес;КБК;ОКТМО;УИН;СНИЛС;ИНН плательщика;Номер ДУЛ;Назначение;Сумма</t>
  </si>
  <si>
    <t xml:space="preserve">Шаблон 5.1</t>
  </si>
  <si>
    <t xml:space="preserve">Шаблон 6.1</t>
  </si>
  <si>
    <t xml:space="preserve">Лицевой счет;Сумма</t>
  </si>
  <si>
    <t xml:space="preserve">Шаблон 6.8</t>
  </si>
  <si>
    <t xml:space="preserve">Шаблон 6.9</t>
  </si>
  <si>
    <t xml:space="preserve">Шаблон 6.10</t>
  </si>
  <si>
    <t xml:space="preserve">Шаблон 6.11</t>
  </si>
  <si>
    <t xml:space="preserve">Шаблон 6.13</t>
  </si>
  <si>
    <t xml:space="preserve">Номер заказа (заявки);ФИО;Адрес;Дополнительная информация;Сумма</t>
  </si>
  <si>
    <t xml:space="preserve">Шаблон 6.14</t>
  </si>
  <si>
    <t xml:space="preserve">Номер бронирования;ФИО;Адрес;Дополнительная информация;Сумма</t>
  </si>
  <si>
    <t xml:space="preserve">Шаблон 6.12</t>
  </si>
  <si>
    <t xml:space="preserve">Лицевой счет;ФИО;Адрес;Дополнительная информация;Сумма;ИНН получателя;Получатель платежа;БИК;Расчетный счет;Банк получателя;Кор.счет</t>
  </si>
  <si>
    <t xml:space="preserve">Шаблон 6.15</t>
  </si>
  <si>
    <t xml:space="preserve">Номер счета на оплату;ФИО;Адрес;Дополнительная информация;Сумма;ИНН получателя;Получатель платежа;БИК;Расчетный счет;Банк получателя;Кор.счет</t>
  </si>
  <si>
    <t xml:space="preserve">Шаблон 7.1</t>
  </si>
  <si>
    <t xml:space="preserve">Лицевой счет;ФИО;Сумма</t>
  </si>
  <si>
    <t xml:space="preserve">Шаблон 8.1</t>
  </si>
  <si>
    <t xml:space="preserve">Шаблон 8.2</t>
  </si>
  <si>
    <t xml:space="preserve">Лицевой счет;Адрес;Сумма;Период</t>
  </si>
  <si>
    <t xml:space="preserve">Шаблон 9.1</t>
  </si>
  <si>
    <t xml:space="preserve">Лицевой счет;ФИО;Адрес;Период;Наименование услуги1;Код услуги1;Сумма1;Наименование услуги2;Код услуги2;Сумма2;Наименование услуги3;Код услуги3;Сумма3;Наименование услуги4;Код услуги4;Сумма4;Наименование услуги5;Код услуги5;Сумма5;Наименование услуги6;Код услуги6;Сумма6;Наименование услуги7;Код услуги7;Сумма7;Наименование услуги8;Код услуги8;Сумма8;Наименование услуги9;Код услуги9;Сумма9;Наименование услуги10;Код услуги10;Сумма10;Наименование услуги11;Код услуги11;Сумма11;Наименование услуги12;Код услуги12;Сумма12;</t>
  </si>
  <si>
    <t xml:space="preserve">Шаблон 9.2</t>
  </si>
  <si>
    <t xml:space="preserve">Лицевой счет;ЕЛС;ФИАС;ФИО;Адрес;Период;Наименование услуги 1;Код услуги 1;Сумма по услуге 1;Наименование услуги 2;Код услуги 2;Сумма по услуге 2;Наименование услуги 3;Код услуги 3;Сумма по услуге 3;Сумма</t>
  </si>
  <si>
    <t xml:space="preserve">Шаблон 10.1</t>
  </si>
  <si>
    <t xml:space="preserve">Шаблон 10.2</t>
  </si>
  <si>
    <t xml:space="preserve">Шаблон 10.3</t>
  </si>
  <si>
    <t xml:space="preserve">Лицевой счет;ФИО;Адрес;Сумма</t>
  </si>
  <si>
    <t xml:space="preserve">Шаблон 10.4</t>
  </si>
  <si>
    <t xml:space="preserve">Шаблон 10.5</t>
  </si>
  <si>
    <t xml:space="preserve">Лицевой счет;ФИО;Адрес;Сумма;Назначение</t>
  </si>
  <si>
    <t xml:space="preserve">Шаблон 10.7</t>
  </si>
  <si>
    <t xml:space="preserve">Шаблон 10.8</t>
  </si>
  <si>
    <t xml:space="preserve">Шаблон 11.1</t>
  </si>
  <si>
    <t xml:space="preserve">Лицевой счет;Период;Сумма</t>
  </si>
  <si>
    <t xml:space="preserve">Шаблон 13.1</t>
  </si>
  <si>
    <t xml:space="preserve">Лицевой счет;Период;Счетчик холодной воды 1;Счетчик холодной воды 2;Счетчик холодной воды 3;Счетчик горячей воды 1;Счетчик горячей воды 2;Счетчик горячей воды 3;Счетчик электроэнергии 1;Счетчик электроэнергии 2;Сумма</t>
  </si>
  <si>
    <t xml:space="preserve">ФИО;Назначение;СНИЛС;КБК;ОКТМО;УИН;ИНН</t>
  </si>
  <si>
    <t xml:space="preserve">Шаблон 13.2</t>
  </si>
  <si>
    <t xml:space="preserve">Лицевой счет;ФИО;Адрес;Предыдущие показания ХВС (счетчик №1);Текущие показания ХВС (счетчик №1);Предыдущие показания ХВС (счетчик №2);Текущие показания ХВС (счетчик №2);Предыдущие показания ХВС (счетчик №3);Текущие показания ХВС (счетчик №3);Предыдущие показания ХВС (счетчик №4);Текущие показания ХВС (счетчик №4);Сумма</t>
  </si>
  <si>
    <t xml:space="preserve">Шаблон 14.1</t>
  </si>
  <si>
    <t xml:space="preserve">Лицевой счет;ЕЛС;ФИАС;ФИО;Адрес;Период;Сумма;Наименование счетчика1;Предыдущее показание счетчика 1;Наименование счетчика2;Предыдущее показание счетчика 2;Наименование счетчика3;Предыдущее показание счетчика 3;Наименование счетчика4;Предыдущее показание счетчика 4;Наименование счетчика5;Предыдущее показание счетчика 5;Наименование счетчика6;Предыдущее показание счетчика 6;Наименование счетчика7;Предыдущее показание счетчика 7;Наименование счетчика8;Предыдущее показание счетчика 8;Наименование счетчика9;Предыдущее показание счетчика 9;Наименование счетчика10;Предыдущее показание счетчика 10;Наименование счетчика11;Предыдущее показание счетчика 11;Наименование счетчика12;Предыдущее показание счетчика 12</t>
  </si>
  <si>
    <t xml:space="preserve">Шаблон 16.3</t>
  </si>
  <si>
    <t xml:space="preserve">42_ЛТШ_3_2</t>
  </si>
  <si>
    <t xml:space="preserve">Табельный номер ребенка;Код группы;ФИО ребенка;Период;Сумма</t>
  </si>
  <si>
    <t xml:space="preserve">70_ЛТШ_3_1</t>
  </si>
  <si>
    <t xml:space="preserve">КБК;ОКТМО;Лицевой счет;Код услуги;Наименование услуги;ФИО ребенка;ФИО;Сумма</t>
  </si>
  <si>
    <t xml:space="preserve">ТШ2</t>
  </si>
  <si>
    <t xml:space="preserve">Шаблон 38_ЛТШ_4_2</t>
  </si>
  <si>
    <t xml:space="preserve">ТШ6</t>
  </si>
  <si>
    <t xml:space="preserve">MOSK_VUZ</t>
  </si>
  <si>
    <t xml:space="preserve">ФИО обучающегося;Назначение;Номер договора;Дата;КБК;ОКТМО;ФИО;Адрес;Сумма</t>
  </si>
  <si>
    <t xml:space="preserve">ТШ7</t>
  </si>
  <si>
    <t xml:space="preserve">ALL_PFR</t>
  </si>
  <si>
    <t xml:space="preserve">ТШ21</t>
  </si>
  <si>
    <t xml:space="preserve">VID_PLAT</t>
  </si>
  <si>
    <t xml:space="preserve">Да</t>
  </si>
  <si>
    <t xml:space="preserve">Вид платежа</t>
  </si>
  <si>
    <t xml:space="preserve">Двумерный штрих-код универсальный с универсальной проверкой</t>
  </si>
  <si>
    <t xml:space="preserve">Выберите вид платежа из списка</t>
  </si>
  <si>
    <t xml:space="preserve">ДОПОЛНИТЕЛЬНЫЕ ВЗНОСЫ;СТРАХОВЫЕ ВЗНОСЫ НА ВЫПЛАТУ СТРАХОВОЙ ПЕНСИИ;ВЗЫСКАНИЯ/ШТРАФЫ ПО СТРАХ. ВЗНОСАМ НА ВЫПЛАТУ СТРАХ.ПЕНСИИ;ВОЗВРАТ ПЕРЕПЛАТЫ ПЕНСИИ;ВОЗВРАТ (КРОМЕ ПЕРЕПЛАТЫ ПЕНСИИ);ДЕНЕЖНЫЕ ВЗЫСКАНИЯ (ШТРАФЫ);</t>
  </si>
  <si>
    <t xml:space="preserve">Список</t>
  </si>
  <si>
    <t xml:space="preserve">{0}</t>
  </si>
  <si>
    <t xml:space="preserve">ТШ22</t>
  </si>
  <si>
    <t xml:space="preserve">Нет</t>
  </si>
  <si>
    <t xml:space="preserve">Проверьте значение КБК</t>
  </si>
  <si>
    <t xml:space="preserve">^\d{20}$</t>
  </si>
  <si>
    <t xml:space="preserve">Строка</t>
  </si>
  <si>
    <t xml:space="preserve">{1}</t>
  </si>
  <si>
    <t xml:space="preserve">ТШ24</t>
  </si>
  <si>
    <t xml:space="preserve">NAZN</t>
  </si>
  <si>
    <t xml:space="preserve">Назначение платежа</t>
  </si>
  <si>
    <t xml:space="preserve">Введите дополнительную информацию для идентификации цели платежа</t>
  </si>
  <si>
    <t xml:space="preserve">ТШ1</t>
  </si>
  <si>
    <t xml:space="preserve">ШАБЛОН 1_1</t>
  </si>
  <si>
    <t xml:space="preserve">Универсальный</t>
  </si>
  <si>
    <t xml:space="preserve">Введите значение ОКТМО 8 цифр (не все нули)</t>
  </si>
  <si>
    <t xml:space="preserve">^\d{8}$</t>
  </si>
  <si>
    <t xml:space="preserve">ТШ3</t>
  </si>
  <si>
    <t xml:space="preserve">Операторы сотовой связи (1 шаг)</t>
  </si>
  <si>
    <t xml:space="preserve">УИН</t>
  </si>
  <si>
    <t xml:space="preserve">Контроль ввода УИН формат 1.16.1 ГИС ГМП</t>
  </si>
  <si>
    <t xml:space="preserve">Введите УИН</t>
  </si>
  <si>
    <t xml:space="preserve">ТШ4</t>
  </si>
  <si>
    <t xml:space="preserve">ШАБЛОН 6_10</t>
  </si>
  <si>
    <t xml:space="preserve">СНИЛС</t>
  </si>
  <si>
    <t xml:space="preserve">Введите значение лицевого счета в пенсионном фонде (11 цифр)</t>
  </si>
  <si>
    <t xml:space="preserve">^\d{11}$</t>
  </si>
  <si>
    <t xml:space="preserve">ТШ5</t>
  </si>
  <si>
    <t xml:space="preserve">Нет аналога</t>
  </si>
  <si>
    <t xml:space="preserve">РЕГ_НОМ</t>
  </si>
  <si>
    <t xml:space="preserve">Регистрационный номер</t>
  </si>
  <si>
    <t xml:space="preserve">Введите Регистрационный номер в ПФР 12 цифр</t>
  </si>
  <si>
    <t xml:space="preserve">^\d{12}$</t>
  </si>
  <si>
    <t xml:space="preserve">ТШ8</t>
  </si>
  <si>
    <t xml:space="preserve">ШАБЛОН 1_2</t>
  </si>
  <si>
    <t xml:space="preserve">ИНН вносителя</t>
  </si>
  <si>
    <t xml:space="preserve">Введите ИНН осуществляющего взнос (12 цифр)</t>
  </si>
  <si>
    <t xml:space="preserve">Целое число</t>
  </si>
  <si>
    <t xml:space="preserve">ТШ9</t>
  </si>
  <si>
    <t xml:space="preserve">ШАБЛОН 1_4</t>
  </si>
  <si>
    <t xml:space="preserve">ВИД_ДОК</t>
  </si>
  <si>
    <t xml:space="preserve">Вид документа</t>
  </si>
  <si>
    <t xml:space="preserve">СНИЛС;ИНН;ПАСПОРТ РФ;СВИД О РОЖДЕНИИ;ВОДИТ УДОСТОВЕРЕНИЕ;СВИД_РЕГ_ТС;ПАСПОРТ МОРЯКА;УДОСТОВЕР ВОЕНСЛУЖ;ВОЕННЫЙ БИЛЕТ;СПРАВКА ОБ ОСВОБ;ВРЕМЕН УДОСТОВЕР;ПАСПОРТ ИН ГРАЖД;ВИД НА ЖИТЕЛЬСТВО;РАЗРЕШ ВРЕМ ПРОЖИВ;УДОСТОВЕР БЕЖЕНЦА;МИГРАЦИОННАЯ КАРТА;ПАСПОРТ СССР;ОХОТНИЧИЙ БИЛЕТ;РАЗРЕШ НА ОРУЖИЕ;</t>
  </si>
  <si>
    <t xml:space="preserve">ТШ10</t>
  </si>
  <si>
    <t xml:space="preserve">ШАБЛОН 10_7</t>
  </si>
  <si>
    <t xml:space="preserve">НОМЕР ДОКУМЕНТА</t>
  </si>
  <si>
    <t xml:space="preserve">Номер документа</t>
  </si>
  <si>
    <t xml:space="preserve">ТШ12</t>
  </si>
  <si>
    <t xml:space="preserve">ШАБЛОН 5_1</t>
  </si>
  <si>
    <t xml:space="preserve">ГРАЖДАНСТВО</t>
  </si>
  <si>
    <t xml:space="preserve">Страна, выдавшая документ</t>
  </si>
  <si>
    <t xml:space="preserve">РОССИЯ;КИТАЙ;БЕЛАРУСЬ;УКРАИНА;КИРГИЗИЯ;УЗБЕКИСТАН;ТАДЖИКИСТАН;АБХАЗИЯ;АРМЕНИЯ;АЗЕРБАЙДЖАН;КАЗАХСТАН;ТУРКМЕНИЯ;ЮЖНАЯ ОСЕТИЯ;ГРУЗИЯ;ЭСТОНИЯ;ЛАТВИЯ;ЛИТВА;МОЛДОВА;ИЗРАИЛЬ;КАНАДА;ГЕРМАНИЯ;НИДЕРЛАНДЫ;НОРВЕГИЯ;ФРАНЦИЯ;КОРЕЯ (РЕСПУБЛИКА);ИРАК;ШВЕЦИЯ;ХОРВАТИЯ;МЕКСИКА;ФИНЛЯНДИЯ;</t>
  </si>
  <si>
    <t xml:space="preserve">ТШ13</t>
  </si>
  <si>
    <t xml:space="preserve">ШАБЛОН 10_4</t>
  </si>
  <si>
    <t xml:space="preserve">FIO</t>
  </si>
  <si>
    <t xml:space="preserve">Введите фамилию, имя и отчество (при наличии) осуществляющего взнос полностью</t>
  </si>
  <si>
    <t xml:space="preserve">^[А-ЯЁа-яё-]{2,30} [А-ЯЁа-яё -]{2,40}$</t>
  </si>
  <si>
    <t xml:space="preserve">ТШ14</t>
  </si>
  <si>
    <t xml:space="preserve">ИПГУ</t>
  </si>
  <si>
    <t xml:space="preserve">Идентификатор плательщика услуги</t>
  </si>
  <si>
    <t xml:space="preserve">ТШ15</t>
  </si>
  <si>
    <t xml:space="preserve">ШАБЛОН 6_4</t>
  </si>
  <si>
    <t xml:space="preserve">УИП</t>
  </si>
  <si>
    <t xml:space="preserve">ТШ17</t>
  </si>
  <si>
    <t xml:space="preserve">16_ЛТШ_15_1</t>
  </si>
  <si>
    <t xml:space="preserve">EXCLUDE_REQS</t>
  </si>
  <si>
    <t xml:space="preserve">EXCLUDE_REQS;</t>
  </si>
  <si>
    <t xml:space="preserve">ТШ18</t>
  </si>
  <si>
    <t xml:space="preserve">18_ЛТШ_1_2</t>
  </si>
  <si>
    <t xml:space="preserve">ТШ19</t>
  </si>
  <si>
    <t xml:space="preserve">38_ЛТШ_4_2</t>
  </si>
  <si>
    <t xml:space="preserve">ТШ23</t>
  </si>
  <si>
    <t xml:space="preserve">ШАБЛОН 1_8</t>
  </si>
  <si>
    <t xml:space="preserve">ТШ25</t>
  </si>
  <si>
    <t xml:space="preserve">ТШ27</t>
  </si>
  <si>
    <t xml:space="preserve">ШАБЛОН 6_9</t>
  </si>
  <si>
    <t xml:space="preserve">ТШ28</t>
  </si>
  <si>
    <t xml:space="preserve">ШАБЛОН 6_11</t>
  </si>
  <si>
    <t xml:space="preserve">ТШ32</t>
  </si>
  <si>
    <t xml:space="preserve">ШАБЛОН 10_8</t>
  </si>
  <si>
    <t xml:space="preserve">ТШ33</t>
  </si>
  <si>
    <t xml:space="preserve">ТШ_БЮД_1</t>
  </si>
  <si>
    <t xml:space="preserve">ШАБЛОН 3_1</t>
  </si>
  <si>
    <t xml:space="preserve">ТШ_БЮД_2</t>
  </si>
  <si>
    <t xml:space="preserve">ШАБЛОН 3_2</t>
  </si>
  <si>
    <t xml:space="preserve">ТШ_БЮД_3</t>
  </si>
  <si>
    <t xml:space="preserve">ШАБЛОН 3_3</t>
  </si>
  <si>
    <t xml:space="preserve">ТШ_БЮД_4_ЗАПРОС</t>
  </si>
  <si>
    <t xml:space="preserve">ШАБЛОН 3_4_ЗАПРОС</t>
  </si>
  <si>
    <t xml:space="preserve">ТШ_БЮД_5</t>
  </si>
  <si>
    <t xml:space="preserve">ШАБЛОН 3_5</t>
  </si>
  <si>
    <t xml:space="preserve">ТШ_БЮД_6</t>
  </si>
  <si>
    <t xml:space="preserve">ШАБЛОН 3_6</t>
  </si>
  <si>
    <t xml:space="preserve">ТШ_БЮД_7</t>
  </si>
  <si>
    <t xml:space="preserve">ШАБЛОН 3_7</t>
  </si>
  <si>
    <t xml:space="preserve">ТШ_БЮД_8</t>
  </si>
  <si>
    <t xml:space="preserve">ШАБЛОН 3_8</t>
  </si>
  <si>
    <t xml:space="preserve">ТШ_БЮД_9</t>
  </si>
  <si>
    <t xml:space="preserve">ШАБЛОН 3_9</t>
  </si>
  <si>
    <t xml:space="preserve">ТШ_БЮД_10</t>
  </si>
  <si>
    <t xml:space="preserve">ШАБЛОН 3_10</t>
  </si>
  <si>
    <t xml:space="preserve">ТШ_БЮД_12</t>
  </si>
  <si>
    <t xml:space="preserve">ШАБЛОН 3_12</t>
  </si>
  <si>
    <t xml:space="preserve">ТШ_БЮД_13</t>
  </si>
  <si>
    <t xml:space="preserve">ШАБЛОН 3_13</t>
  </si>
  <si>
    <t xml:space="preserve">ТШ_БЮД_14</t>
  </si>
  <si>
    <t xml:space="preserve">ШАБЛОН 3_14</t>
  </si>
  <si>
    <t xml:space="preserve">ТШ_БЮД_16</t>
  </si>
  <si>
    <t xml:space="preserve">ШАБЛОН 3_16</t>
  </si>
  <si>
    <t xml:space="preserve">ТШ_БЮД_17</t>
  </si>
  <si>
    <t xml:space="preserve">ШАБЛОН 3_17</t>
  </si>
  <si>
    <t xml:space="preserve">ТШ_БЮД_19</t>
  </si>
  <si>
    <t xml:space="preserve">ШАБЛОН 3_19</t>
  </si>
  <si>
    <t xml:space="preserve">ТШ_БЮД_26</t>
  </si>
  <si>
    <t xml:space="preserve">ШАБЛОН 3_26</t>
  </si>
  <si>
    <t xml:space="preserve">ТШ_БЮД_28</t>
  </si>
  <si>
    <t xml:space="preserve">ШАБЛОН 3_28</t>
  </si>
  <si>
    <t xml:space="preserve">ТШ_БЮД_32</t>
  </si>
  <si>
    <t xml:space="preserve">ШАБЛОН 3_32</t>
  </si>
  <si>
    <t xml:space="preserve">ПАО СБЕРБАНК                                                                                                                  Форма №ПД-4</t>
  </si>
  <si>
    <t xml:space="preserve">Извещение</t>
  </si>
  <si>
    <t xml:space="preserve">(наименование получателя платежа)</t>
  </si>
  <si>
    <t xml:space="preserve">  (инн получателя платежа)                                                    (номер счёта получателя платежа)</t>
  </si>
  <si>
    <t xml:space="preserve">(наименование банка получателя платежа)</t>
  </si>
  <si>
    <t xml:space="preserve">(назначение платежа)</t>
  </si>
  <si>
    <t xml:space="preserve">(сумма платежа)</t>
  </si>
  <si>
    <t xml:space="preserve">С условиями приёма указанной в платёжном документе суммы, в т.ч. с суммой взимаемой платы за услуги  </t>
  </si>
  <si>
    <r>
      <rPr>
        <sz val="6"/>
        <rFont val="Arial Cyr"/>
        <family val="0"/>
        <charset val="204"/>
      </rPr>
      <t xml:space="preserve">банка, ознакомлен и согласен.                    Подпись плательщика </t>
    </r>
    <r>
      <rPr>
        <u val="single"/>
        <sz val="6"/>
        <rFont val="Arial Cyr"/>
        <family val="0"/>
        <charset val="204"/>
      </rPr>
      <t xml:space="preserve">                                       \</t>
    </r>
  </si>
  <si>
    <t xml:space="preserve">ПАО СБЕРБАНК                                                                                                                       Форма №ПД-4</t>
  </si>
  <si>
    <t xml:space="preserve">Квитанция</t>
  </si>
  <si>
    <t xml:space="preserve">  (инн получателя платежа)                                                        (номер счёта получателя платежа)</t>
  </si>
  <si>
    <t xml:space="preserve"> (наименование банка получателя платежа)</t>
  </si>
  <si>
    <t xml:space="preserve">-----------------------------------------------------------------------------------------------------------------</t>
  </si>
  <si>
    <t xml:space="preserve">ПЛАТЕЖНЫЙ ДОКУМЕНТ</t>
  </si>
  <si>
    <t xml:space="preserve">для внесения платы за капитальный ремонт</t>
  </si>
  <si>
    <t xml:space="preserve">Раздел 1.</t>
  </si>
  <si>
    <t xml:space="preserve">Сведения о плательщике</t>
  </si>
  <si>
    <t xml:space="preserve">Раздел 7.</t>
  </si>
  <si>
    <t xml:space="preserve">Расчет размера взноса на капитальный ремонт</t>
  </si>
  <si>
    <t xml:space="preserve">за</t>
  </si>
  <si>
    <t xml:space="preserve"> (расчетный период)</t>
  </si>
  <si>
    <t xml:space="preserve">Виды услуг</t>
  </si>
  <si>
    <t xml:space="preserve">Единица измере-ния</t>
  </si>
  <si>
    <t xml:space="preserve">Размер взноса на кв. м,
руб.</t>
  </si>
  <si>
    <t xml:space="preserve">Всего на-числено за расчетный период, руб.</t>
  </si>
  <si>
    <t xml:space="preserve">Пере-расчеты всего, 
руб.</t>
  </si>
  <si>
    <t xml:space="preserve">Льготы, субсидии, руб.</t>
  </si>
  <si>
    <t xml:space="preserve">Итого к оплате за расчетный период,
руб.</t>
  </si>
  <si>
    <t xml:space="preserve">Адрес помещения</t>
  </si>
  <si>
    <t xml:space="preserve">Площадь помещения:</t>
  </si>
  <si>
    <t xml:space="preserve"> кв. м</t>
  </si>
  <si>
    <t xml:space="preserve">Количество проживающих</t>
  </si>
  <si>
    <t xml:space="preserve"> чел.</t>
  </si>
  <si>
    <t xml:space="preserve">Взнос на капиталь-ный ремонт</t>
  </si>
  <si>
    <t xml:space="preserve">кв. м</t>
  </si>
  <si>
    <t xml:space="preserve">ЗДЕСЬ ШК</t>
  </si>
  <si>
    <t xml:space="preserve">Раздел 8. </t>
  </si>
  <si>
    <t xml:space="preserve">Информация для внесения взноса на капитальный ремонт</t>
  </si>
  <si>
    <t xml:space="preserve">Наименование получателя 
платежа</t>
  </si>
  <si>
    <t xml:space="preserve">Номер банковского счета и банковские реквизиты</t>
  </si>
  <si>
    <t xml:space="preserve">№ лицевого счета 
(иной идентификатор плательщика)</t>
  </si>
  <si>
    <t xml:space="preserve">Сумма к оплате
за расчетный период, руб.</t>
  </si>
  <si>
    <t xml:space="preserve">Справочно:</t>
  </si>
  <si>
    <t xml:space="preserve">Задолженность за предыдущие периоды</t>
  </si>
  <si>
    <t xml:space="preserve">Аванс на начало расчетного периода</t>
  </si>
  <si>
    <t xml:space="preserve">(учтены платежи, поступившие до 25 числа расчетного периода включительно)</t>
  </si>
  <si>
    <t xml:space="preserve">Дата последней поступившей оплаты</t>
  </si>
  <si>
    <t xml:space="preserve">Итого к оплате:</t>
  </si>
  <si>
    <t xml:space="preserve"> руб.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</si>
</sst>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"/>
    <numFmt numFmtId="167" formatCode="#,##0"/>
    <numFmt numFmtId="168" formatCode="dd/mm/yyyy"/>
    <numFmt numFmtId="169" formatCode="0.00"/>
  </numFmts>
  <fonts count="31">
    <font>
      <sz val="12"/>
      <color theme="1"/>
      <name val="Times New Roman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204"/>
    </font>
    <font>
      <b val="true"/>
      <sz val="12"/>
      <color rgb="FF00B05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2"/>
      <charset val="204"/>
    </font>
    <font>
      <sz val="8"/>
      <color rgb="FF000000"/>
      <name val="Arial Cyr"/>
      <family val="0"/>
      <charset val="1"/>
    </font>
    <font>
      <sz val="12"/>
      <color rgb="FF000000"/>
      <name val="Times New Roman"/>
      <family val="2"/>
      <charset val="204"/>
    </font>
    <font>
      <sz val="12"/>
      <name val="Times New Roman"/>
      <family val="1"/>
      <charset val="204"/>
    </font>
    <font>
      <sz val="10"/>
      <name val="Arial"/>
      <family val="2"/>
    </font>
    <font>
      <sz val="9"/>
      <color rgb="FF000000"/>
      <name val="Tahoma"/>
      <family val="2"/>
      <charset val="204"/>
    </font>
    <font>
      <b val="true"/>
      <sz val="10"/>
      <name val="Arial Cyr"/>
      <family val="2"/>
      <charset val="204"/>
    </font>
    <font>
      <b val="true"/>
      <sz val="11"/>
      <name val="Arial Cyr"/>
      <family val="2"/>
      <charset val="204"/>
    </font>
    <font>
      <sz val="10"/>
      <color rgb="FF000000"/>
      <name val="Arial Cyr"/>
      <family val="0"/>
      <charset val="204"/>
    </font>
    <font>
      <sz val="6"/>
      <name val="Arial Cyr"/>
      <family val="0"/>
      <charset val="204"/>
    </font>
    <font>
      <sz val="9"/>
      <name val="Arial Cyr"/>
      <family val="0"/>
      <charset val="204"/>
    </font>
    <font>
      <sz val="8"/>
      <name val="Arial Cyr"/>
      <family val="0"/>
      <charset val="204"/>
    </font>
    <font>
      <sz val="9"/>
      <color rgb="FF000000"/>
      <name val="Arial Cyr"/>
      <family val="0"/>
      <charset val="204"/>
    </font>
    <font>
      <sz val="8"/>
      <color rgb="FF000000"/>
      <name val="Arial Cyr"/>
      <family val="0"/>
      <charset val="204"/>
    </font>
    <font>
      <sz val="6"/>
      <color rgb="FF000000"/>
      <name val="Arial Cyr"/>
      <family val="0"/>
      <charset val="204"/>
    </font>
    <font>
      <u val="single"/>
      <sz val="6"/>
      <name val="Arial Cyr"/>
      <family val="0"/>
      <charset val="204"/>
    </font>
    <font>
      <sz val="9"/>
      <color theme="1"/>
      <name val="Arial Cyr"/>
      <family val="0"/>
      <charset val="204"/>
    </font>
    <font>
      <sz val="8"/>
      <name val="Times New Roman"/>
      <family val="1"/>
      <charset val="204"/>
    </font>
    <font>
      <b val="true"/>
      <sz val="9"/>
      <name val="Times New Roman"/>
      <family val="1"/>
      <charset val="204"/>
    </font>
    <font>
      <sz val="6"/>
      <name val="Times New Roman"/>
      <family val="1"/>
      <charset val="204"/>
    </font>
    <font>
      <b val="true"/>
      <sz val="8"/>
      <name val="Times New Roman"/>
      <family val="1"/>
      <charset val="204"/>
    </font>
    <font>
      <b val="true"/>
      <sz val="7.5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9204"/>
        <bgColor rgb="FFFF6600"/>
      </patternFill>
    </fill>
    <fill>
      <patternFill patternType="solid">
        <fgColor theme="0"/>
        <bgColor rgb="FFFFFFCC"/>
      </patternFill>
    </fill>
    <fill>
      <patternFill patternType="solid">
        <fgColor theme="4" tint="0.7999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/>
      <diagonal/>
    </border>
    <border diagonalUp="false" diagonalDown="false">
      <left style="dashed"/>
      <right/>
      <top style="dashed"/>
      <bottom/>
      <diagonal/>
    </border>
    <border diagonalUp="false" diagonalDown="false">
      <left/>
      <right/>
      <top style="dashed"/>
      <bottom/>
      <diagonal/>
    </border>
    <border diagonalUp="false" diagonalDown="false">
      <left/>
      <right style="dashed"/>
      <top style="dashed"/>
      <bottom/>
      <diagonal/>
    </border>
    <border diagonalUp="false" diagonalDown="false">
      <left style="dashed"/>
      <right style="dashed"/>
      <top/>
      <bottom/>
      <diagonal/>
    </border>
    <border diagonalUp="false" diagonalDown="false">
      <left style="dashed"/>
      <right/>
      <top/>
      <bottom/>
      <diagonal/>
    </border>
    <border diagonalUp="false" diagonalDown="false">
      <left/>
      <right style="dashed"/>
      <top/>
      <bottom/>
      <diagonal/>
    </border>
    <border diagonalUp="false" diagonalDown="false">
      <left/>
      <right/>
      <top/>
      <bottom style="dashed"/>
      <diagonal/>
    </border>
    <border diagonalUp="false" diagonalDown="false">
      <left style="dashed"/>
      <right/>
      <top/>
      <bottom style="dashed"/>
      <diagonal/>
    </border>
    <border diagonalUp="false" diagonalDown="false">
      <left/>
      <right style="dashed"/>
      <top/>
      <bottom style="dashed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ashed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bottom" textRotation="0" wrapText="false" indent="0" shrinkToFit="tru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0" fillId="3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0" fillId="3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1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4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6" fillId="0" borderId="0" xfId="22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6" fillId="0" borderId="12" xfId="22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3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4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8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9" fillId="0" borderId="19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7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8" fillId="0" borderId="1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0" fillId="0" borderId="1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1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8" fillId="0" borderId="1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5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2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23" fillId="0" borderId="1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0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6" fillId="0" borderId="2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2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5" borderId="2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8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6" fillId="0" borderId="23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5" borderId="2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5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9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5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6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0" fillId="0" borderId="21" xfId="21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6" fillId="5" borderId="1" xfId="21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6" fillId="5" borderId="1" xfId="2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6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2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2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6" fillId="0" borderId="16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6" fillId="0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8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6" fillId="5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7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6" fillId="7" borderId="1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2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23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26" fillId="0" borderId="19" xfId="21" applyFont="true" applyBorder="true" applyAlignment="true" applyProtection="true">
      <alignment horizontal="left" vertical="bottom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4" xfId="20"/>
    <cellStyle name="Обычный 2" xfId="21"/>
    <cellStyle name="Обычный_Книга1" xfId="22"/>
  </cellStyles>
  <dxfs count="5">
    <dxf>
      <fill>
        <patternFill patternType="solid">
          <fgColor rgb="FFFC920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CE6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2D050"/>
      <rgbColor rgb="FFFFCC00"/>
      <rgbColor rgb="FFFC9204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sharedStrings" Target="sharedStrings.xml"/><Relationship Id="rId10" Type="http://schemas.openxmlformats.org/officeDocument/2006/relationships/customXml" Target="../customXml/item1.xml"/>
</Relationships>
</file>

<file path=xl/ctrlProps/ctrlProps2.xml><?xml version="1.0" encoding="utf-8"?>
<formControlPr xmlns="http://schemas.microsoft.com/office/spreadsheetml/2009/9/main" objectType="Button" lockText="1"/>
</file>

<file path=xl/ctrlProps/ctrlProps3.xml><?xml version="1.0" encoding="utf-8"?>
<formControlPr xmlns="http://schemas.microsoft.com/office/spreadsheetml/2009/9/main" objectType="Button" lockText="1"/>
</file>

<file path=xl/ctrlProps/ctrlProps4.xml><?xml version="1.0" encoding="utf-8"?>
<formControlPr xmlns="http://schemas.microsoft.com/office/spreadsheetml/2009/9/main" objectType="Button" lockText="1"/>
</file>

<file path=xl/ctrlProps/ctrlProps6.xml><?xml version="1.0" encoding="utf-8"?>
<formControlPr xmlns="http://schemas.microsoft.com/office/spreadsheetml/2009/9/main" objectType="Button" lockText="1"/>
</file>

<file path=xl/ctrlProps/ctrlProps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100440</xdr:colOff>
          <xdr:row>4</xdr:row>
          <xdr:rowOff>36720</xdr:rowOff>
        </xdr:from>
        <xdr:to>
          <xdr:col>1</xdr:col>
          <xdr:colOff>941760</xdr:colOff>
          <xdr:row>5</xdr:row>
          <xdr:rowOff>-45720</xdr:rowOff>
        </xdr:to>
        <xdr:sp>
          <xdr:nvSpPr>
            <xdr:cNvPr id="1001" name="Button 1" descr="Сформировать реестр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Сформировать реестр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1042560</xdr:colOff>
          <xdr:row>4</xdr:row>
          <xdr:rowOff>36720</xdr:rowOff>
        </xdr:from>
        <xdr:to>
          <xdr:col>2</xdr:col>
          <xdr:colOff>1015200</xdr:colOff>
          <xdr:row>5</xdr:row>
          <xdr:rowOff>-45720</xdr:rowOff>
        </xdr:to>
        <xdr:sp>
          <xdr:nvSpPr>
            <xdr:cNvPr id="1002" name="Button 27" descr="Сформировать карточки с ДШК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Сформировать карточки с ДШК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36720</xdr:rowOff>
        </xdr:from>
        <xdr:to>
          <xdr:col>4</xdr:col>
          <xdr:colOff>-219600</xdr:colOff>
          <xdr:row>5</xdr:row>
          <xdr:rowOff>-45720</xdr:rowOff>
        </xdr:to>
        <xdr:sp>
          <xdr:nvSpPr>
            <xdr:cNvPr id="1003" name="Button 28" descr="Сформировать квитанции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Сформировать квитанции</a:t>
              </a:r>
            </a:p>
          </xdr:txBody>
        </xdr:sp>
        <xdr:clientData/>
      </xdr:twoCellAnchor>
    </mc:Choice>
  </mc:AlternateContent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100440</xdr:colOff>
          <xdr:row>1</xdr:row>
          <xdr:rowOff>36720</xdr:rowOff>
        </xdr:from>
        <xdr:to>
          <xdr:col>3</xdr:col>
          <xdr:colOff>329040</xdr:colOff>
          <xdr:row>2</xdr:row>
          <xdr:rowOff>9360</xdr:rowOff>
        </xdr:to>
        <xdr:sp>
          <xdr:nvSpPr>
            <xdr:cNvPr id="1001" name="Button 2" descr="Применить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Применить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146160</xdr:colOff>
          <xdr:row>10</xdr:row>
          <xdr:rowOff>18360</xdr:rowOff>
        </xdr:from>
        <xdr:to>
          <xdr:col>3</xdr:col>
          <xdr:colOff>383760</xdr:colOff>
          <xdr:row>11</xdr:row>
          <xdr:rowOff>45720</xdr:rowOff>
        </xdr:to>
        <xdr:sp>
          <xdr:nvSpPr>
            <xdr:cNvPr id="1002" name="Button 5" descr="Выбрать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Выбрать</a:t>
              </a:r>
            </a:p>
          </xdr:txBody>
        </xdr:sp>
        <xdr:clientData/>
      </xdr:twoCellAnchor>
    </mc:Choice>
  </mc:AlternateContent>
</xdr:wsDr>
</file>

<file path=xl/tables/table1.xml><?xml version="1.0" encoding="utf-8"?>
<table xmlns="http://schemas.openxmlformats.org/spreadsheetml/2006/main" id="1" name="Реестр" displayName="Реестр" ref="A6:H18" headerRowCount="1" totalsRowCount="0" totalsRowShown="0">
  <autoFilter ref="A6:H18"/>
  <tableColumns count="8">
    <tableColumn id="1" name="Лицевой счет"/>
    <tableColumn id="2" name="ФИО обучающегося"/>
    <tableColumn id="3" name="Назначение"/>
    <tableColumn id="4" name="КБК"/>
    <tableColumn id="5" name="ОКТМО"/>
    <tableColumn id="6" name="ФИО"/>
    <tableColumn id="7" name="Служeбнoе поле"/>
    <tableColumn id="8" name="Сумма"/>
  </tableColumns>
</table>
</file>

<file path=xl/tables/table2.xml><?xml version="1.0" encoding="utf-8"?>
<table xmlns="http://schemas.openxmlformats.org/spreadsheetml/2006/main" id="2" name="СписокПолейШаблонов" displayName="СписокПолейШаблонов" ref="V1:V99" headerRowCount="1" totalsRowCount="0" totalsRowShown="0">
  <autoFilter ref="V1:V99"/>
  <tableColumns count="1">
    <tableColumn id="1" name="Поля шаблона"/>
  </tableColumns>
</table>
</file>

<file path=xl/tables/table3.xml><?xml version="1.0" encoding="utf-8"?>
<table xmlns="http://schemas.openxmlformats.org/spreadsheetml/2006/main" id="3" name="Таблица1" displayName="Таблица1" ref="A1:B14" headerRowCount="1" totalsRowCount="0" totalsRowShown="0">
  <autoFilter ref="A1:B14"/>
  <tableColumns count="2">
    <tableColumn id="1" name="Параметр"/>
    <tableColumn id="2" name="Значение"/>
  </tableColumns>
</table>
</file>

<file path=xl/tables/table4.xml><?xml version="1.0" encoding="utf-8"?>
<table xmlns="http://schemas.openxmlformats.org/spreadsheetml/2006/main" id="4" name="Таблица5" displayName="Таблица5" ref="Z1:Z4" headerRowCount="1" totalsRowCount="0" totalsRowShown="0">
  <autoFilter ref="Z1:Z4"/>
  <tableColumns count="1">
    <tableColumn id="1" name="Код кодировки"/>
  </tableColumns>
</table>
</file>

<file path=xl/tables/table5.xml><?xml version="1.0" encoding="utf-8"?>
<table xmlns="http://schemas.openxmlformats.org/spreadsheetml/2006/main" id="5" name="Таблица6" displayName="Таблица6" ref="AB1:AB4" headerRowCount="1" totalsRowCount="0" totalsRowShown="0">
  <autoFilter ref="AB1:AB4"/>
  <tableColumns count="1">
    <tableColumn id="1" name="Тип квитанции"/>
  </tableColumns>
</table>
</file>

<file path=xl/tables/table6.xml><?xml version="1.0" encoding="utf-8"?>
<table xmlns="http://schemas.openxmlformats.org/spreadsheetml/2006/main" id="6" name="Таблица68" displayName="Таблица68" ref="AD1:AD3" headerRowCount="1" totalsRowCount="0" totalsRowShown="0">
  <autoFilter ref="AD1:AD3"/>
  <tableColumns count="1">
    <tableColumn id="1" name="Тип печати"/>
  </tableColumns>
</table>
</file>

<file path=xl/tables/table7.xml><?xml version="1.0" encoding="utf-8"?>
<table xmlns="http://schemas.openxmlformats.org/spreadsheetml/2006/main" id="7" name="Шаблоны" displayName="Шаблоны" ref="T1:T99" headerRowCount="1" totalsRowCount="0" totalsRowShown="0">
  <autoFilter ref="T1:T99"/>
  <tableColumns count="1">
    <tableColumn id="1" name="Шаблоны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Relationship Id="rId4" Type="http://schemas.openxmlformats.org/officeDocument/2006/relationships/ctrlProp" Target="../ctrlProps/ctrlProps6.xml"/><Relationship Id="rId5" Type="http://schemas.openxmlformats.org/officeDocument/2006/relationships/ctrlProp" Target="../ctrlProps/ctrlProps7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Relationship Id="rId9" Type="http://schemas.openxmlformats.org/officeDocument/2006/relationships/table" Target="../tables/table5.xml"/><Relationship Id="rId10" Type="http://schemas.openxmlformats.org/officeDocument/2006/relationships/table" Target="../tables/table6.xml"/><Relationship Id="rId11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B26" activeCellId="0" sqref="B26"/>
    </sheetView>
  </sheetViews>
  <sheetFormatPr defaultColWidth="9.00390625" defaultRowHeight="15" customHeight="true" zeroHeight="false" outlineLevelRow="0" outlineLevelCol="0"/>
  <cols>
    <col collapsed="false" customWidth="true" hidden="false" outlineLevel="0" max="1" min="1" style="1" width="15.6"/>
    <col collapsed="false" customWidth="true" hidden="false" outlineLevel="0" max="2" min="2" style="1" width="30.6"/>
    <col collapsed="false" customWidth="true" hidden="false" outlineLevel="0" max="3" min="3" style="1" width="15.6"/>
    <col collapsed="false" customWidth="true" hidden="false" outlineLevel="0" max="4" min="4" style="1" width="30.6"/>
    <col collapsed="false" customWidth="true" hidden="false" outlineLevel="0" max="5" min="5" style="2" width="15.6"/>
    <col collapsed="false" customWidth="true" hidden="false" outlineLevel="0" max="6" min="6" style="2" width="30.6"/>
    <col collapsed="false" customWidth="true" hidden="false" outlineLevel="0" max="11" min="7" style="2" width="15.6"/>
    <col collapsed="false" customWidth="true" hidden="false" outlineLevel="0" max="13" min="12" style="2" width="15.4"/>
    <col collapsed="false" customWidth="true" hidden="false" outlineLevel="0" max="14" min="14" style="2" width="15.6"/>
    <col collapsed="false" customWidth="true" hidden="false" outlineLevel="0" max="29" min="15" style="2" width="15.4"/>
    <col collapsed="false" customWidth="false" hidden="false" outlineLevel="0" max="16384" min="30" style="2" width="9"/>
  </cols>
  <sheetData>
    <row r="1" s="6" customFormat="true" ht="36" hidden="false" customHeight="true" outlineLevel="0" collapsed="false">
      <c r="A1" s="3" t="s">
        <v>0</v>
      </c>
      <c r="B1" s="4" t="str">
        <f aca="true">Настройки!B4&amp;"_"&amp;Настройки!B9&amp;"_"&amp;Настройки!B10&amp;"_"&amp;TEXT(TODAY(),"ДД.ММ.ГГГГ")&amp;".TXT"</f>
        <v>9959992999_7777777777777777777777__ДД.ММ.ГГГГ.TXT</v>
      </c>
      <c r="C1" s="5"/>
      <c r="D1" s="5"/>
    </row>
    <row r="2" s="10" customFormat="true" ht="15.75" hidden="false" customHeight="true" outlineLevel="0" collapsed="false">
      <c r="A2" s="7" t="s">
        <v>1</v>
      </c>
      <c r="B2" s="8" t="n">
        <f aca="false">SUM(Реестр[Сумма])</f>
        <v>200</v>
      </c>
      <c r="C2" s="9"/>
      <c r="D2" s="1"/>
    </row>
    <row r="3" s="10" customFormat="true" ht="15.75" hidden="false" customHeight="true" outlineLevel="0" collapsed="false">
      <c r="A3" s="7" t="s">
        <v>2</v>
      </c>
      <c r="B3" s="11" t="n">
        <f aca="false">COUNTA(Реестр[Сумма])</f>
        <v>2</v>
      </c>
      <c r="D3" s="1"/>
    </row>
    <row r="4" s="10" customFormat="true" ht="15" hidden="false" customHeight="false" outlineLevel="0" collapsed="false">
      <c r="A4" s="1"/>
      <c r="B4" s="1"/>
      <c r="C4" s="12"/>
      <c r="D4" s="1"/>
    </row>
    <row r="5" s="10" customFormat="true" ht="26.25" hidden="false" customHeight="true" outlineLevel="0" collapsed="false">
      <c r="A5" s="1"/>
      <c r="B5" s="1"/>
      <c r="C5" s="1"/>
      <c r="D5" s="1"/>
    </row>
    <row r="6" s="15" customFormat="true" ht="61.5" hidden="false" customHeight="true" outlineLevel="0" collapsed="false">
      <c r="A6" s="13" t="s">
        <v>3</v>
      </c>
      <c r="B6" s="14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</row>
    <row r="7" s="18" customFormat="true" ht="15" hidden="false" customHeight="false" outlineLevel="0" collapsed="false">
      <c r="A7" s="16" t="s">
        <v>11</v>
      </c>
      <c r="B7" s="16" t="s">
        <v>12</v>
      </c>
      <c r="C7" s="16" t="s">
        <v>13</v>
      </c>
      <c r="D7" s="16" t="s">
        <v>14</v>
      </c>
      <c r="E7" s="16" t="s">
        <v>15</v>
      </c>
      <c r="F7" s="16"/>
      <c r="G7" s="16"/>
      <c r="H7" s="17" t="n">
        <v>200</v>
      </c>
    </row>
    <row r="8" s="18" customFormat="true" ht="15" hidden="false" customHeight="false" outlineLevel="0" collapsed="false">
      <c r="A8" s="19" t="n">
        <v>123</v>
      </c>
      <c r="B8" s="16" t="s">
        <v>16</v>
      </c>
      <c r="C8" s="16" t="s">
        <v>13</v>
      </c>
      <c r="D8" s="19" t="n">
        <v>111</v>
      </c>
      <c r="E8" s="19" t="n">
        <v>22222222</v>
      </c>
      <c r="F8" s="16"/>
      <c r="G8" s="16"/>
      <c r="H8" s="19" t="s">
        <v>17</v>
      </c>
    </row>
    <row r="9" customFormat="false" ht="15" hidden="false" customHeight="false" outlineLevel="0" collapsed="false">
      <c r="A9" s="16"/>
      <c r="B9" s="16"/>
      <c r="C9" s="16"/>
      <c r="D9" s="16"/>
      <c r="E9" s="16"/>
      <c r="F9" s="16"/>
      <c r="G9" s="16"/>
      <c r="H9" s="17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  <c r="H10" s="17"/>
    </row>
    <row r="11" s="18" customFormat="true" ht="15" hidden="false" customHeight="false" outlineLevel="0" collapsed="false">
      <c r="A11" s="16"/>
      <c r="B11" s="16"/>
      <c r="C11" s="16"/>
      <c r="D11" s="16"/>
      <c r="E11" s="16"/>
      <c r="F11" s="16"/>
      <c r="G11" s="16"/>
      <c r="H11" s="17"/>
    </row>
    <row r="12" customFormat="false" ht="15" hidden="false" customHeight="false" outlineLevel="0" collapsed="false">
      <c r="A12" s="16"/>
      <c r="B12" s="16"/>
      <c r="C12" s="16"/>
      <c r="D12" s="16"/>
      <c r="E12" s="16"/>
      <c r="F12" s="16"/>
      <c r="G12" s="16"/>
      <c r="H12" s="17"/>
    </row>
    <row r="13" customFormat="false" ht="15" hidden="false" customHeight="false" outlineLevel="0" collapsed="false">
      <c r="A13" s="16"/>
      <c r="B13" s="16"/>
      <c r="C13" s="16"/>
      <c r="D13" s="16"/>
      <c r="E13" s="16"/>
      <c r="F13" s="16"/>
      <c r="G13" s="16"/>
      <c r="H13" s="17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  <c r="G14" s="16"/>
      <c r="H14" s="17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  <c r="G15" s="16"/>
      <c r="H15" s="17"/>
    </row>
    <row r="16" customFormat="false" ht="15" hidden="false" customHeight="false" outlineLevel="0" collapsed="false">
      <c r="A16" s="16"/>
      <c r="B16" s="16"/>
      <c r="C16" s="16"/>
      <c r="D16" s="16"/>
      <c r="E16" s="16"/>
      <c r="F16" s="16"/>
      <c r="G16" s="16"/>
      <c r="H16" s="17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7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7"/>
    </row>
  </sheetData>
  <dataValidations count="5">
    <dataValidation allowBlank="true" error="Длина поля 'Номер договора' должна быть от 1 до 50 символов" errorStyle="stop" errorTitle="Внимание" operator="between" prompt="Длина поля 'Номер договора' должна быть от 1 до 50 символов" promptTitle="Внимание" showDropDown="false" showErrorMessage="true" showInputMessage="true" sqref="A7 A9:A18" type="textLength">
      <formula1>1</formula1>
      <formula2>50</formula2>
    </dataValidation>
    <dataValidation allowBlank="true" error="Длина поля 'КБК' должна быть 20 символов" errorStyle="stop" errorTitle="Внимание" operator="equal" prompt="Длина поля 'КБК' должна быть 20 символов" promptTitle="Внимание" showDropDown="false" showErrorMessage="true" showInputMessage="true" sqref="D7 D9:D18" type="textLength">
      <formula1>20</formula1>
      <formula2>0</formula2>
    </dataValidation>
    <dataValidation allowBlank="true" error="Длина поля 'ОКТМО' должна быть 8 или 11 символов" errorStyle="stop" errorTitle="Внимание" operator="between" prompt="Длина поля 'ОКТМО' должна быть 8 или 11 символов" promptTitle="Внимание" showDropDown="false" showErrorMessage="true" showInputMessage="true" sqref="E7 E9:E18" type="textLength">
      <formula1>8</formula1>
      <formula2>11</formula2>
    </dataValidation>
    <dataValidation allowBlank="true" error="Длина поля 'ФИО' должна быть от 3 до 50 символов" errorStyle="stop" errorTitle="Внимание" operator="between" prompt="Длина поля 'ФИО' должна быть от 3 до 50 символов" promptTitle="Внимание" showDropDown="false" showErrorMessage="true" showInputMessage="true" sqref="F7:F18" type="textLength">
      <formula1>3</formula1>
      <formula2>50</formula2>
    </dataValidation>
    <dataValidation allowBlank="true" error="Сумма  вводится в формате 999999.99 (разделитель .)" errorStyle="stop" errorTitle="Ошибка" operator="greaterThanOrEqual" prompt="Сумма  вводится в формате 999999.99 (разделитель .) " promptTitle="Внимание" showDropDown="false" showErrorMessage="true" showInputMessage="true" sqref="H7 H9:H18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1">
              <controlPr defaultSize="0" print="true" autoFill="0" autoPict="0" macro="Module2.Worksheet_FormTXTFile">
                <anchor moveWithCells="true" sizeWithCells="false">
                  <from>
                    <xdr:col>0</xdr:col>
                    <xdr:colOff>100440</xdr:colOff>
                    <xdr:row>4</xdr:row>
                    <xdr:rowOff>36720</xdr:rowOff>
                  </from>
                  <to>
                    <xdr:col>1</xdr:col>
                    <xdr:colOff>941760</xdr:colOff>
                    <xdr:row>5</xdr:row>
                    <xdr:rowOff>-45720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Button 27">
              <controlPr defaultSize="0" print="true" autoFill="0" autoPict="0" macro="Module5.GenerateCardSHK">
                <anchor moveWithCells="true" sizeWithCells="false">
                  <from>
                    <xdr:col>1</xdr:col>
                    <xdr:colOff>1042560</xdr:colOff>
                    <xdr:row>4</xdr:row>
                    <xdr:rowOff>36720</xdr:rowOff>
                  </from>
                  <to>
                    <xdr:col>2</xdr:col>
                    <xdr:colOff>1015200</xdr:colOff>
                    <xdr:row>5</xdr:row>
                    <xdr:rowOff>-45720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Button 28">
              <controlPr defaultSize="0" print="true" autoFill="0" autoPict="0" macro="Module1.GeneratePD4">
                <anchor moveWithCells="true" sizeWithCells="false">
                  <from>
                    <xdr:col>3</xdr:col>
                    <xdr:colOff>0</xdr:colOff>
                    <xdr:row>4</xdr:row>
                    <xdr:rowOff>36720</xdr:rowOff>
                  </from>
                  <to>
                    <xdr:col>4</xdr:col>
                    <xdr:colOff>-219600</xdr:colOff>
                    <xdr:row>5</xdr:row>
                    <xdr:rowOff>-45720</xdr:rowOff>
                  </to>
                </anchor>
              </controlPr>
            </control>
          </mc:Choice>
        </mc:AlternateContent>
      </controls>
    </mc:Choice>
  </mc:AlternateContent>
  <tableParts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8.6015625" defaultRowHeight="15" customHeight="true" zeroHeight="false" outlineLevelRow="0" outlineLevelCol="0"/>
  <cols>
    <col collapsed="false" customWidth="true" hidden="false" outlineLevel="0" max="1" min="1" style="10" width="53.1"/>
    <col collapsed="false" customWidth="true" hidden="false" outlineLevel="0" max="2" min="2" style="10" width="50.7"/>
    <col collapsed="false" customWidth="true" hidden="false" outlineLevel="0" max="5" min="5" style="10" width="5.5"/>
    <col collapsed="false" customWidth="true" hidden="false" outlineLevel="0" max="6" min="6" style="10" width="7"/>
    <col collapsed="false" customWidth="true" hidden="false" outlineLevel="0" max="7" min="7" style="10" width="47.6"/>
    <col collapsed="false" customWidth="true" hidden="false" outlineLevel="0" max="16" min="16" style="10" width="3.2"/>
    <col collapsed="false" customWidth="true" hidden="false" outlineLevel="0" max="17" min="17" style="10" width="22"/>
    <col collapsed="false" customWidth="true" hidden="false" outlineLevel="0" max="18" min="18" style="10" width="12.1"/>
    <col collapsed="false" customWidth="true" hidden="false" outlineLevel="0" max="20" min="20" style="10" width="25.5"/>
    <col collapsed="false" customWidth="true" hidden="false" outlineLevel="0" max="22" min="22" style="10" width="162.1"/>
    <col collapsed="false" customWidth="true" hidden="false" outlineLevel="0" max="25" min="23" style="20" width="9"/>
    <col collapsed="false" customWidth="true" hidden="false" outlineLevel="0" max="26" min="26" style="20" width="14.6"/>
    <col collapsed="false" customWidth="true" hidden="false" outlineLevel="0" max="28" min="28" style="10" width="20.9"/>
  </cols>
  <sheetData>
    <row r="1" customFormat="false" ht="15" hidden="false" customHeight="false" outlineLevel="0" collapsed="false">
      <c r="A1" s="21" t="s">
        <v>18</v>
      </c>
      <c r="B1" s="21" t="s">
        <v>19</v>
      </c>
      <c r="T1" s="20" t="s">
        <v>20</v>
      </c>
      <c r="V1" s="20" t="s">
        <v>21</v>
      </c>
      <c r="Z1" s="20" t="s">
        <v>22</v>
      </c>
      <c r="AB1" s="20" t="s">
        <v>23</v>
      </c>
      <c r="AD1" s="20" t="s">
        <v>24</v>
      </c>
    </row>
    <row r="2" customFormat="false" ht="15" hidden="false" customHeight="false" outlineLevel="0" collapsed="false">
      <c r="A2" s="22" t="s">
        <v>25</v>
      </c>
      <c r="B2" s="23" t="s">
        <v>26</v>
      </c>
      <c r="T2" s="10" t="s">
        <v>27</v>
      </c>
      <c r="V2" s="10" t="s">
        <v>28</v>
      </c>
      <c r="Z2" s="20" t="n">
        <v>1</v>
      </c>
      <c r="AB2" s="10" t="s">
        <v>29</v>
      </c>
      <c r="AD2" s="10" t="s">
        <v>30</v>
      </c>
    </row>
    <row r="3" customFormat="false" ht="15" hidden="false" customHeight="false" outlineLevel="0" collapsed="false">
      <c r="A3" s="22" t="s">
        <v>31</v>
      </c>
      <c r="B3" s="24" t="s">
        <v>32</v>
      </c>
      <c r="T3" s="10" t="s">
        <v>33</v>
      </c>
      <c r="V3" s="10" t="s">
        <v>34</v>
      </c>
      <c r="Z3" s="20" t="n">
        <v>2</v>
      </c>
      <c r="AB3" s="10" t="s">
        <v>35</v>
      </c>
      <c r="AD3" s="10" t="s">
        <v>36</v>
      </c>
    </row>
    <row r="4" customFormat="false" ht="15" hidden="false" customHeight="false" outlineLevel="0" collapsed="false">
      <c r="A4" s="22" t="s">
        <v>37</v>
      </c>
      <c r="B4" s="24" t="n">
        <v>9959992999</v>
      </c>
      <c r="T4" s="10" t="s">
        <v>38</v>
      </c>
      <c r="V4" s="10" t="s">
        <v>39</v>
      </c>
      <c r="Z4" s="20" t="n">
        <v>3</v>
      </c>
      <c r="AB4" s="10" t="s">
        <v>40</v>
      </c>
    </row>
    <row r="5" customFormat="false" ht="15" hidden="false" customHeight="false" outlineLevel="0" collapsed="false">
      <c r="A5" s="22" t="s">
        <v>41</v>
      </c>
      <c r="B5" s="24" t="n">
        <v>3333333333</v>
      </c>
      <c r="T5" s="10" t="s">
        <v>42</v>
      </c>
      <c r="V5" s="10" t="s">
        <v>43</v>
      </c>
    </row>
    <row r="6" customFormat="false" ht="15" hidden="false" customHeight="false" outlineLevel="0" collapsed="false">
      <c r="A6" s="22" t="s">
        <v>44</v>
      </c>
      <c r="B6" s="25" t="s">
        <v>45</v>
      </c>
      <c r="T6" s="10" t="s">
        <v>46</v>
      </c>
      <c r="V6" s="10" t="s">
        <v>47</v>
      </c>
    </row>
    <row r="7" customFormat="false" ht="15" hidden="false" customHeight="false" outlineLevel="0" collapsed="false">
      <c r="A7" s="22" t="s">
        <v>48</v>
      </c>
      <c r="B7" s="25" t="s">
        <v>49</v>
      </c>
      <c r="T7" s="10" t="s">
        <v>50</v>
      </c>
      <c r="V7" s="10" t="s">
        <v>51</v>
      </c>
    </row>
    <row r="8" customFormat="false" ht="28.95" hidden="false" customHeight="false" outlineLevel="0" collapsed="false">
      <c r="A8" s="22" t="s">
        <v>52</v>
      </c>
      <c r="B8" s="26" t="s">
        <v>53</v>
      </c>
      <c r="T8" s="10" t="s">
        <v>54</v>
      </c>
      <c r="V8" s="10" t="s">
        <v>55</v>
      </c>
    </row>
    <row r="9" customFormat="false" ht="15" hidden="false" customHeight="false" outlineLevel="0" collapsed="false">
      <c r="A9" s="22" t="s">
        <v>56</v>
      </c>
      <c r="B9" s="25" t="s">
        <v>49</v>
      </c>
      <c r="T9" s="10" t="s">
        <v>57</v>
      </c>
      <c r="V9" s="10" t="s">
        <v>58</v>
      </c>
    </row>
    <row r="10" customFormat="false" ht="15" hidden="false" customHeight="false" outlineLevel="0" collapsed="false">
      <c r="A10" s="22" t="s">
        <v>59</v>
      </c>
      <c r="B10" s="27"/>
      <c r="T10" s="10" t="s">
        <v>60</v>
      </c>
      <c r="V10" s="10" t="s">
        <v>61</v>
      </c>
    </row>
    <row r="11" customFormat="false" ht="15" hidden="false" customHeight="false" outlineLevel="0" collapsed="false">
      <c r="A11" s="22" t="s">
        <v>62</v>
      </c>
      <c r="B11" s="27"/>
      <c r="T11" s="10" t="s">
        <v>63</v>
      </c>
      <c r="V11" s="10" t="s">
        <v>64</v>
      </c>
    </row>
    <row r="12" customFormat="false" ht="16.5" hidden="false" customHeight="true" outlineLevel="0" collapsed="false">
      <c r="A12" s="22" t="s">
        <v>65</v>
      </c>
      <c r="B12" s="28" t="s">
        <v>66</v>
      </c>
      <c r="T12" s="10" t="s">
        <v>67</v>
      </c>
      <c r="V12" s="10" t="s">
        <v>68</v>
      </c>
    </row>
    <row r="13" customFormat="false" ht="16.5" hidden="true" customHeight="true" outlineLevel="0" collapsed="false">
      <c r="A13" s="22" t="s">
        <v>69</v>
      </c>
      <c r="B13" s="27" t="n">
        <v>1</v>
      </c>
      <c r="T13" s="10" t="s">
        <v>70</v>
      </c>
      <c r="V13" s="10" t="s">
        <v>71</v>
      </c>
    </row>
    <row r="14" customFormat="false" ht="16.5" hidden="true" customHeight="true" outlineLevel="0" collapsed="false">
      <c r="A14" s="22" t="s">
        <v>72</v>
      </c>
      <c r="B14" s="23" t="s">
        <v>35</v>
      </c>
      <c r="T14" s="10" t="s">
        <v>73</v>
      </c>
      <c r="V14" s="10" t="s">
        <v>74</v>
      </c>
    </row>
    <row r="15" customFormat="false" ht="16.5" hidden="false" customHeight="true" outlineLevel="0" collapsed="false">
      <c r="T15" s="10" t="s">
        <v>75</v>
      </c>
      <c r="V15" s="10" t="s">
        <v>76</v>
      </c>
    </row>
    <row r="16" customFormat="false" ht="15" hidden="false" customHeight="false" outlineLevel="0" collapsed="false">
      <c r="T16" s="10" t="s">
        <v>77</v>
      </c>
      <c r="V16" s="10" t="s">
        <v>78</v>
      </c>
    </row>
    <row r="17" customFormat="false" ht="15" hidden="false" customHeight="false" outlineLevel="0" collapsed="false">
      <c r="T17" s="10" t="s">
        <v>79</v>
      </c>
      <c r="V17" s="10" t="s">
        <v>80</v>
      </c>
    </row>
    <row r="18" customFormat="false" ht="15" hidden="false" customHeight="false" outlineLevel="0" collapsed="false">
      <c r="A18" s="29" t="s">
        <v>81</v>
      </c>
      <c r="B18" s="29" t="s">
        <v>30</v>
      </c>
      <c r="T18" s="10" t="s">
        <v>82</v>
      </c>
      <c r="V18" s="10" t="s">
        <v>83</v>
      </c>
    </row>
    <row r="19" customFormat="false" ht="15" hidden="false" customHeight="false" outlineLevel="0" collapsed="false">
      <c r="T19" s="10" t="s">
        <v>84</v>
      </c>
      <c r="V19" s="10" t="s">
        <v>85</v>
      </c>
    </row>
    <row r="20" customFormat="false" ht="15" hidden="false" customHeight="false" outlineLevel="0" collapsed="false">
      <c r="T20" s="10" t="s">
        <v>86</v>
      </c>
      <c r="V20" s="10" t="s">
        <v>87</v>
      </c>
    </row>
    <row r="21" customFormat="false" ht="15" hidden="false" customHeight="false" outlineLevel="0" collapsed="false">
      <c r="T21" s="10" t="s">
        <v>88</v>
      </c>
      <c r="V21" s="10" t="s">
        <v>89</v>
      </c>
    </row>
    <row r="22" customFormat="false" ht="15" hidden="false" customHeight="false" outlineLevel="0" collapsed="false">
      <c r="T22" s="10" t="s">
        <v>90</v>
      </c>
      <c r="V22" s="10" t="s">
        <v>91</v>
      </c>
    </row>
    <row r="23" customFormat="false" ht="15" hidden="false" customHeight="false" outlineLevel="0" collapsed="false">
      <c r="T23" s="10" t="s">
        <v>92</v>
      </c>
      <c r="V23" s="10" t="s">
        <v>93</v>
      </c>
    </row>
    <row r="24" customFormat="false" ht="15" hidden="false" customHeight="false" outlineLevel="0" collapsed="false">
      <c r="T24" s="10" t="s">
        <v>94</v>
      </c>
      <c r="V24" s="10" t="s">
        <v>95</v>
      </c>
    </row>
    <row r="25" customFormat="false" ht="15" hidden="false" customHeight="false" outlineLevel="0" collapsed="false">
      <c r="T25" s="10" t="s">
        <v>96</v>
      </c>
      <c r="V25" s="10" t="s">
        <v>97</v>
      </c>
    </row>
    <row r="26" customFormat="false" ht="15" hidden="false" customHeight="false" outlineLevel="0" collapsed="false">
      <c r="T26" s="10" t="s">
        <v>98</v>
      </c>
      <c r="V26" s="10" t="s">
        <v>99</v>
      </c>
    </row>
    <row r="27" customFormat="false" ht="15" hidden="false" customHeight="false" outlineLevel="0" collapsed="false">
      <c r="T27" s="10" t="s">
        <v>100</v>
      </c>
      <c r="V27" s="10" t="s">
        <v>101</v>
      </c>
    </row>
    <row r="28" customFormat="false" ht="15" hidden="false" customHeight="false" outlineLevel="0" collapsed="false">
      <c r="T28" s="10" t="s">
        <v>102</v>
      </c>
      <c r="V28" s="10" t="s">
        <v>103</v>
      </c>
    </row>
    <row r="29" customFormat="false" ht="15" hidden="false" customHeight="false" outlineLevel="0" collapsed="false">
      <c r="T29" s="10" t="s">
        <v>104</v>
      </c>
      <c r="V29" s="10" t="s">
        <v>105</v>
      </c>
    </row>
    <row r="30" customFormat="false" ht="15" hidden="false" customHeight="false" outlineLevel="0" collapsed="false">
      <c r="T30" s="10" t="s">
        <v>106</v>
      </c>
      <c r="V30" s="10" t="s">
        <v>107</v>
      </c>
    </row>
    <row r="31" customFormat="false" ht="15" hidden="false" customHeight="false" outlineLevel="0" collapsed="false">
      <c r="T31" s="10" t="s">
        <v>108</v>
      </c>
      <c r="V31" s="10" t="s">
        <v>99</v>
      </c>
    </row>
    <row r="32" customFormat="false" ht="15" hidden="false" customHeight="false" outlineLevel="0" collapsed="false">
      <c r="T32" s="10" t="s">
        <v>109</v>
      </c>
      <c r="V32" s="10" t="s">
        <v>110</v>
      </c>
    </row>
    <row r="33" customFormat="false" ht="15" hidden="false" customHeight="false" outlineLevel="0" collapsed="false">
      <c r="T33" s="10" t="s">
        <v>111</v>
      </c>
      <c r="V33" s="10" t="s">
        <v>112</v>
      </c>
    </row>
    <row r="34" customFormat="false" ht="15" hidden="false" customHeight="false" outlineLevel="0" collapsed="false">
      <c r="T34" s="10" t="s">
        <v>26</v>
      </c>
      <c r="V34" s="10" t="s">
        <v>113</v>
      </c>
    </row>
    <row r="35" customFormat="false" ht="15" hidden="false" customHeight="false" outlineLevel="0" collapsed="false">
      <c r="T35" s="10" t="s">
        <v>114</v>
      </c>
      <c r="V35" s="10" t="s">
        <v>115</v>
      </c>
    </row>
    <row r="36" customFormat="false" ht="15" hidden="false" customHeight="false" outlineLevel="0" collapsed="false">
      <c r="T36" s="10" t="s">
        <v>116</v>
      </c>
      <c r="V36" s="10" t="s">
        <v>28</v>
      </c>
    </row>
    <row r="37" customFormat="false" ht="15" hidden="false" customHeight="false" outlineLevel="0" collapsed="false">
      <c r="T37" s="10" t="s">
        <v>117</v>
      </c>
      <c r="V37" s="10" t="s">
        <v>51</v>
      </c>
    </row>
    <row r="38" customFormat="false" ht="15" hidden="false" customHeight="false" outlineLevel="0" collapsed="false">
      <c r="T38" s="10" t="s">
        <v>118</v>
      </c>
      <c r="V38" s="10" t="s">
        <v>55</v>
      </c>
    </row>
    <row r="39" customFormat="false" ht="15" hidden="false" customHeight="false" outlineLevel="0" collapsed="false">
      <c r="T39" s="10" t="s">
        <v>119</v>
      </c>
      <c r="V39" s="10" t="s">
        <v>55</v>
      </c>
    </row>
    <row r="40" customFormat="false" ht="15" hidden="false" customHeight="false" outlineLevel="0" collapsed="false">
      <c r="T40" s="30" t="s">
        <v>120</v>
      </c>
      <c r="V40" s="10" t="s">
        <v>121</v>
      </c>
    </row>
    <row r="41" customFormat="false" ht="15" hidden="false" customHeight="false" outlineLevel="0" collapsed="false">
      <c r="T41" s="10" t="s">
        <v>122</v>
      </c>
      <c r="V41" s="10" t="s">
        <v>78</v>
      </c>
    </row>
    <row r="42" customFormat="false" ht="15" hidden="false" customHeight="false" outlineLevel="0" collapsed="false">
      <c r="T42" s="10" t="s">
        <v>123</v>
      </c>
      <c r="V42" s="10" t="s">
        <v>124</v>
      </c>
    </row>
    <row r="43" customFormat="false" ht="15" hidden="false" customHeight="false" outlineLevel="0" collapsed="false">
      <c r="T43" s="10" t="s">
        <v>125</v>
      </c>
      <c r="V43" s="10" t="s">
        <v>126</v>
      </c>
    </row>
    <row r="44" customFormat="false" ht="15" hidden="false" customHeight="false" outlineLevel="0" collapsed="false">
      <c r="T44" s="10" t="s">
        <v>127</v>
      </c>
      <c r="V44" s="10" t="s">
        <v>87</v>
      </c>
    </row>
    <row r="45" customFormat="false" ht="15" hidden="false" customHeight="false" outlineLevel="0" collapsed="false">
      <c r="T45" s="10" t="s">
        <v>128</v>
      </c>
      <c r="V45" s="10" t="s">
        <v>89</v>
      </c>
    </row>
    <row r="46" customFormat="false" ht="15" hidden="false" customHeight="false" outlineLevel="0" collapsed="false">
      <c r="T46" s="10" t="s">
        <v>129</v>
      </c>
      <c r="V46" s="10" t="s">
        <v>91</v>
      </c>
    </row>
    <row r="47" customFormat="false" ht="15" hidden="false" customHeight="false" outlineLevel="0" collapsed="false">
      <c r="T47" s="10" t="s">
        <v>130</v>
      </c>
      <c r="V47" s="10" t="s">
        <v>131</v>
      </c>
    </row>
    <row r="48" customFormat="false" ht="15" hidden="false" customHeight="false" outlineLevel="0" collapsed="false">
      <c r="T48" s="10" t="s">
        <v>132</v>
      </c>
      <c r="V48" s="10" t="s">
        <v>133</v>
      </c>
    </row>
    <row r="49" customFormat="false" ht="15" hidden="false" customHeight="false" outlineLevel="0" collapsed="false">
      <c r="T49" s="10" t="s">
        <v>134</v>
      </c>
      <c r="V49" s="10" t="s">
        <v>93</v>
      </c>
    </row>
    <row r="50" customFormat="false" ht="15" hidden="false" customHeight="false" outlineLevel="0" collapsed="false">
      <c r="T50" s="10" t="s">
        <v>135</v>
      </c>
      <c r="V50" s="10" t="s">
        <v>95</v>
      </c>
    </row>
    <row r="51" customFormat="false" ht="15" hidden="false" customHeight="false" outlineLevel="0" collapsed="false">
      <c r="T51" s="10" t="s">
        <v>136</v>
      </c>
      <c r="V51" s="10" t="s">
        <v>97</v>
      </c>
    </row>
    <row r="52" customFormat="false" ht="15" hidden="false" customHeight="false" outlineLevel="0" collapsed="false">
      <c r="T52" s="10" t="s">
        <v>137</v>
      </c>
      <c r="V52" s="10" t="s">
        <v>99</v>
      </c>
    </row>
    <row r="53" customFormat="false" ht="15" hidden="false" customHeight="false" outlineLevel="0" collapsed="false">
      <c r="T53" s="10" t="s">
        <v>138</v>
      </c>
      <c r="V53" s="10" t="s">
        <v>101</v>
      </c>
    </row>
    <row r="54" customFormat="false" ht="15" hidden="false" customHeight="false" outlineLevel="0" collapsed="false">
      <c r="T54" s="10" t="s">
        <v>139</v>
      </c>
      <c r="V54" s="10" t="s">
        <v>97</v>
      </c>
    </row>
    <row r="55" customFormat="false" ht="15" hidden="false" customHeight="false" outlineLevel="0" collapsed="false">
      <c r="T55" s="10" t="s">
        <v>140</v>
      </c>
      <c r="V55" s="10" t="s">
        <v>103</v>
      </c>
    </row>
    <row r="56" customFormat="false" ht="15" hidden="false" customHeight="false" outlineLevel="0" collapsed="false">
      <c r="T56" s="10" t="s">
        <v>141</v>
      </c>
      <c r="V56" s="10" t="s">
        <v>142</v>
      </c>
    </row>
    <row r="57" customFormat="false" ht="15" hidden="false" customHeight="false" outlineLevel="0" collapsed="false">
      <c r="T57" s="10" t="s">
        <v>143</v>
      </c>
      <c r="V57" s="10" t="s">
        <v>105</v>
      </c>
    </row>
    <row r="58" customFormat="false" ht="15" hidden="false" customHeight="false" outlineLevel="0" collapsed="false">
      <c r="T58" s="10" t="s">
        <v>144</v>
      </c>
      <c r="V58" s="10" t="s">
        <v>107</v>
      </c>
    </row>
    <row r="59" customFormat="false" ht="15" hidden="false" customHeight="false" outlineLevel="0" collapsed="false">
      <c r="T59" s="10" t="s">
        <v>145</v>
      </c>
      <c r="V59" s="10" t="s">
        <v>99</v>
      </c>
    </row>
    <row r="60" customFormat="false" ht="15" hidden="false" customHeight="false" outlineLevel="0" collapsed="false">
      <c r="T60" s="10" t="s">
        <v>146</v>
      </c>
      <c r="V60" s="10" t="s">
        <v>147</v>
      </c>
    </row>
    <row r="61" customFormat="false" ht="15" hidden="false" customHeight="false" outlineLevel="0" collapsed="false">
      <c r="T61" s="10" t="s">
        <v>148</v>
      </c>
      <c r="V61" s="10" t="s">
        <v>110</v>
      </c>
    </row>
    <row r="62" customFormat="false" ht="15" hidden="false" customHeight="false" outlineLevel="0" collapsed="false">
      <c r="T62" s="10" t="s">
        <v>149</v>
      </c>
      <c r="V62" s="10" t="s">
        <v>150</v>
      </c>
    </row>
    <row r="63" customFormat="false" ht="15" hidden="false" customHeight="false" outlineLevel="0" collapsed="false">
      <c r="T63" s="10" t="s">
        <v>151</v>
      </c>
      <c r="V63" s="10" t="s">
        <v>152</v>
      </c>
    </row>
    <row r="64" customFormat="false" ht="15" hidden="false" customHeight="false" outlineLevel="0" collapsed="false">
      <c r="T64" s="10" t="s">
        <v>153</v>
      </c>
      <c r="V64" s="10" t="s">
        <v>112</v>
      </c>
    </row>
    <row r="65" customFormat="false" ht="15" hidden="false" customHeight="false" outlineLevel="0" collapsed="false">
      <c r="T65" s="10" t="s">
        <v>154</v>
      </c>
      <c r="V65" s="10" t="s">
        <v>155</v>
      </c>
    </row>
    <row r="66" customFormat="false" ht="15" hidden="false" customHeight="false" outlineLevel="0" collapsed="false">
      <c r="T66" s="10" t="s">
        <v>156</v>
      </c>
      <c r="V66" s="10" t="s">
        <v>115</v>
      </c>
    </row>
    <row r="67" customFormat="false" ht="15" hidden="false" customHeight="false" outlineLevel="0" collapsed="false">
      <c r="T67" s="10" t="s">
        <v>157</v>
      </c>
      <c r="V67" s="10" t="s">
        <v>158</v>
      </c>
    </row>
    <row r="68" customFormat="false" ht="15" hidden="false" customHeight="false" outlineLevel="0" collapsed="false">
      <c r="T68" s="10" t="s">
        <v>159</v>
      </c>
      <c r="V68" s="10" t="s">
        <v>61</v>
      </c>
    </row>
    <row r="69" customFormat="false" ht="15" hidden="false" customHeight="false" outlineLevel="0" collapsed="false">
      <c r="T69" s="10" t="s">
        <v>160</v>
      </c>
      <c r="V69" s="10" t="s">
        <v>161</v>
      </c>
    </row>
    <row r="70" customFormat="false" ht="15" hidden="false" customHeight="false" outlineLevel="0" collapsed="false">
      <c r="T70" s="10" t="s">
        <v>162</v>
      </c>
      <c r="V70" s="10" t="s">
        <v>34</v>
      </c>
    </row>
    <row r="71" customFormat="false" ht="15" hidden="false" customHeight="false" outlineLevel="0" collapsed="false">
      <c r="T71" s="10" t="s">
        <v>163</v>
      </c>
      <c r="V71" s="10" t="s">
        <v>80</v>
      </c>
    </row>
    <row r="72" customFormat="false" ht="15" hidden="false" customHeight="false" outlineLevel="0" collapsed="false">
      <c r="T72" s="10" t="s">
        <v>164</v>
      </c>
      <c r="V72" s="10" t="s">
        <v>39</v>
      </c>
    </row>
    <row r="73" customFormat="false" ht="15" hidden="false" customHeight="false" outlineLevel="0" collapsed="false">
      <c r="T73" s="10" t="s">
        <v>165</v>
      </c>
      <c r="V73" s="10" t="s">
        <v>83</v>
      </c>
    </row>
    <row r="74" customFormat="false" ht="15" hidden="false" customHeight="false" outlineLevel="0" collapsed="false">
      <c r="T74" s="10" t="s">
        <v>166</v>
      </c>
      <c r="V74" s="10" t="s">
        <v>167</v>
      </c>
    </row>
    <row r="75" customFormat="false" ht="15" hidden="false" customHeight="false" outlineLevel="0" collapsed="false">
      <c r="T75" s="10" t="s">
        <v>168</v>
      </c>
      <c r="V75" s="10" t="s">
        <v>169</v>
      </c>
    </row>
    <row r="76" customFormat="false" ht="15" hidden="false" customHeight="false" outlineLevel="0" collapsed="false">
      <c r="T76" s="10" t="s">
        <v>170</v>
      </c>
      <c r="V76" s="10" t="s">
        <v>171</v>
      </c>
    </row>
    <row r="77" customFormat="false" ht="15" hidden="false" customHeight="false" outlineLevel="0" collapsed="false">
      <c r="T77" s="10" t="s">
        <v>172</v>
      </c>
      <c r="V77" s="10" t="s">
        <v>173</v>
      </c>
    </row>
    <row r="78" customFormat="false" ht="15" hidden="false" customHeight="false" outlineLevel="0" collapsed="false">
      <c r="T78" s="10" t="s">
        <v>174</v>
      </c>
      <c r="V78" s="10" t="s">
        <v>175</v>
      </c>
    </row>
    <row r="79" customFormat="false" ht="15" hidden="false" customHeight="false" outlineLevel="0" collapsed="false">
      <c r="T79" s="10" t="s">
        <v>176</v>
      </c>
      <c r="V79" s="10" t="s">
        <v>71</v>
      </c>
    </row>
    <row r="80" customFormat="false" ht="15" hidden="false" customHeight="false" outlineLevel="0" collapsed="false">
      <c r="T80" s="10" t="s">
        <v>177</v>
      </c>
      <c r="V80" s="10" t="s">
        <v>178</v>
      </c>
    </row>
    <row r="81" customFormat="false" ht="15" hidden="false" customHeight="false" outlineLevel="0" collapsed="false">
      <c r="T81" s="10" t="s">
        <v>179</v>
      </c>
      <c r="V81" s="10" t="s">
        <v>180</v>
      </c>
    </row>
    <row r="82" customFormat="false" ht="15" hidden="false" customHeight="false" outlineLevel="0" collapsed="false">
      <c r="T82" s="10" t="s">
        <v>181</v>
      </c>
      <c r="V82" s="10" t="s">
        <v>182</v>
      </c>
    </row>
    <row r="83" customFormat="false" ht="15" hidden="false" customHeight="false" outlineLevel="0" collapsed="false">
      <c r="T83" s="10" t="s">
        <v>183</v>
      </c>
      <c r="V83" s="10" t="s">
        <v>47</v>
      </c>
    </row>
    <row r="84" customFormat="false" ht="15" hidden="false" customHeight="false" outlineLevel="0" collapsed="false">
      <c r="T84" s="10" t="s">
        <v>184</v>
      </c>
      <c r="V84" s="10" t="s">
        <v>76</v>
      </c>
    </row>
    <row r="85" customFormat="false" ht="15" hidden="false" customHeight="false" outlineLevel="0" collapsed="false">
      <c r="T85" s="10" t="s">
        <v>185</v>
      </c>
      <c r="V85" s="10" t="s">
        <v>186</v>
      </c>
    </row>
    <row r="86" customFormat="false" ht="15" hidden="false" customHeight="false" outlineLevel="0" collapsed="false">
      <c r="T86" s="10" t="s">
        <v>187</v>
      </c>
      <c r="V86" s="10" t="s">
        <v>64</v>
      </c>
    </row>
    <row r="87" customFormat="false" ht="15" hidden="false" customHeight="false" outlineLevel="0" collapsed="false">
      <c r="T87" s="10" t="s">
        <v>188</v>
      </c>
      <c r="V87" s="10" t="s">
        <v>189</v>
      </c>
    </row>
    <row r="88" customFormat="false" ht="15" hidden="false" customHeight="false" outlineLevel="0" collapsed="false">
      <c r="T88" s="10" t="s">
        <v>190</v>
      </c>
      <c r="V88" s="10" t="s">
        <v>58</v>
      </c>
    </row>
    <row r="89" customFormat="false" ht="15" hidden="false" customHeight="false" outlineLevel="0" collapsed="false">
      <c r="T89" s="10" t="s">
        <v>191</v>
      </c>
      <c r="V89" s="10" t="s">
        <v>85</v>
      </c>
    </row>
    <row r="90" customFormat="false" ht="15" hidden="false" customHeight="false" outlineLevel="0" collapsed="false">
      <c r="T90" s="10" t="s">
        <v>192</v>
      </c>
      <c r="V90" s="10" t="s">
        <v>193</v>
      </c>
    </row>
    <row r="91" customFormat="false" ht="15" hidden="false" customHeight="false" outlineLevel="0" collapsed="false">
      <c r="T91" s="10" t="s">
        <v>194</v>
      </c>
      <c r="V91" s="10" t="s">
        <v>195</v>
      </c>
    </row>
    <row r="92" customFormat="false" ht="15" hidden="false" customHeight="false" outlineLevel="0" collapsed="false">
      <c r="I92" s="10" t="s">
        <v>196</v>
      </c>
      <c r="T92" s="10" t="s">
        <v>197</v>
      </c>
      <c r="V92" s="10" t="s">
        <v>198</v>
      </c>
    </row>
    <row r="93" customFormat="false" ht="15" hidden="false" customHeight="false" outlineLevel="0" collapsed="false">
      <c r="T93" s="10" t="s">
        <v>199</v>
      </c>
      <c r="V93" s="10" t="s">
        <v>200</v>
      </c>
    </row>
    <row r="94" customFormat="false" ht="15" hidden="false" customHeight="false" outlineLevel="0" collapsed="false">
      <c r="T94" s="10" t="s">
        <v>201</v>
      </c>
      <c r="V94" s="10" t="str">
        <f aca="false">"ФИО;" &amp; G1 &amp; ";" &amp;G2&amp;";"&amp;G3&amp;";КБК;ОКТМО;Сумма"</f>
        <v>ФИО;;;;КБК;ОКТМО;Сумма</v>
      </c>
    </row>
    <row r="95" customFormat="false" ht="15" hidden="false" customHeight="false" outlineLevel="0" collapsed="false">
      <c r="T95" s="10" t="s">
        <v>202</v>
      </c>
      <c r="V95" s="10" t="s">
        <v>203</v>
      </c>
    </row>
    <row r="96" customFormat="false" ht="15" hidden="false" customHeight="false" outlineLevel="0" collapsed="false">
      <c r="T96" s="10" t="s">
        <v>204</v>
      </c>
      <c r="V96" s="10" t="s">
        <v>205</v>
      </c>
      <c r="X96" s="20" t="s">
        <v>206</v>
      </c>
    </row>
    <row r="97" customFormat="false" ht="15" hidden="false" customHeight="false" outlineLevel="0" collapsed="false">
      <c r="T97" s="10" t="s">
        <v>207</v>
      </c>
      <c r="V97" s="10" t="s">
        <v>68</v>
      </c>
      <c r="X97" s="20" t="s">
        <v>208</v>
      </c>
    </row>
    <row r="98" customFormat="false" ht="15" hidden="false" customHeight="false" outlineLevel="0" collapsed="false">
      <c r="T98" s="10" t="s">
        <v>209</v>
      </c>
      <c r="V98" s="31" t="s">
        <v>210</v>
      </c>
      <c r="X98" s="20" t="s">
        <v>211</v>
      </c>
    </row>
    <row r="99" customFormat="false" ht="15" hidden="false" customHeight="false" outlineLevel="0" collapsed="false">
      <c r="T99" s="10" t="s">
        <v>212</v>
      </c>
      <c r="V99" s="10" t="s">
        <v>196</v>
      </c>
      <c r="X99" s="20" t="s">
        <v>213</v>
      </c>
    </row>
    <row r="100" customFormat="false" ht="15" hidden="false" customHeight="false" outlineLevel="0" collapsed="false">
      <c r="A100" s="10" t="s">
        <v>212</v>
      </c>
      <c r="B100" s="10" t="n">
        <v>1</v>
      </c>
      <c r="C100" s="10" t="n">
        <v>1</v>
      </c>
      <c r="D100" s="10" t="n">
        <v>0</v>
      </c>
      <c r="E100" s="10" t="s">
        <v>214</v>
      </c>
      <c r="G100" s="10" t="n">
        <v>3</v>
      </c>
      <c r="H100" s="10" t="s">
        <v>215</v>
      </c>
      <c r="I100" s="10" t="s">
        <v>216</v>
      </c>
      <c r="J100" s="10" t="s">
        <v>217</v>
      </c>
      <c r="K100" s="10" t="s">
        <v>215</v>
      </c>
      <c r="L100" s="10" t="s">
        <v>218</v>
      </c>
      <c r="N100" s="10" t="s">
        <v>219</v>
      </c>
      <c r="O100" s="10" t="n">
        <v>0</v>
      </c>
      <c r="P100" s="10" t="n">
        <v>100</v>
      </c>
      <c r="Q100" s="10" t="s">
        <v>220</v>
      </c>
      <c r="R100" s="10" t="s">
        <v>221</v>
      </c>
      <c r="X100" s="20" t="s">
        <v>222</v>
      </c>
    </row>
    <row r="101" customFormat="false" ht="15" hidden="false" customHeight="false" outlineLevel="0" collapsed="false">
      <c r="A101" s="10" t="s">
        <v>212</v>
      </c>
      <c r="B101" s="10" t="n">
        <v>20</v>
      </c>
      <c r="C101" s="10" t="n">
        <v>2</v>
      </c>
      <c r="D101" s="10" t="n">
        <v>0</v>
      </c>
      <c r="E101" s="10" t="s">
        <v>6</v>
      </c>
      <c r="G101" s="10" t="n">
        <v>4</v>
      </c>
      <c r="H101" s="10" t="s">
        <v>215</v>
      </c>
      <c r="I101" s="32" t="s">
        <v>6</v>
      </c>
      <c r="K101" s="10" t="s">
        <v>223</v>
      </c>
      <c r="L101" s="10" t="s">
        <v>224</v>
      </c>
      <c r="M101" s="10" t="s">
        <v>225</v>
      </c>
      <c r="O101" s="10" t="n">
        <v>20</v>
      </c>
      <c r="P101" s="10" t="n">
        <v>20</v>
      </c>
      <c r="Q101" s="10" t="s">
        <v>226</v>
      </c>
      <c r="R101" s="10" t="s">
        <v>227</v>
      </c>
      <c r="X101" s="20" t="s">
        <v>228</v>
      </c>
    </row>
    <row r="102" customFormat="false" ht="15" hidden="false" customHeight="false" outlineLevel="0" collapsed="false">
      <c r="A102" s="10" t="s">
        <v>212</v>
      </c>
      <c r="B102" s="10" t="n">
        <v>30</v>
      </c>
      <c r="C102" s="10" t="n">
        <v>2</v>
      </c>
      <c r="D102" s="10" t="n">
        <v>0</v>
      </c>
      <c r="E102" s="10" t="s">
        <v>229</v>
      </c>
      <c r="G102" s="10" t="n">
        <v>2</v>
      </c>
      <c r="H102" s="10" t="s">
        <v>215</v>
      </c>
      <c r="I102" s="32" t="s">
        <v>230</v>
      </c>
      <c r="K102" s="10" t="s">
        <v>223</v>
      </c>
      <c r="L102" s="10" t="s">
        <v>231</v>
      </c>
      <c r="O102" s="10" t="n">
        <v>0</v>
      </c>
      <c r="P102" s="10" t="n">
        <v>150</v>
      </c>
      <c r="Q102" s="10" t="s">
        <v>226</v>
      </c>
      <c r="R102" s="10" t="s">
        <v>221</v>
      </c>
      <c r="X102" s="20" t="s">
        <v>232</v>
      </c>
      <c r="Y102" s="20" t="s">
        <v>233</v>
      </c>
    </row>
    <row r="103" customFormat="false" ht="15" hidden="false" customHeight="false" outlineLevel="0" collapsed="false">
      <c r="A103" s="10" t="s">
        <v>212</v>
      </c>
      <c r="B103" s="10" t="n">
        <v>40</v>
      </c>
      <c r="C103" s="10" t="n">
        <v>2</v>
      </c>
      <c r="D103" s="10" t="n">
        <v>0</v>
      </c>
      <c r="E103" s="10" t="s">
        <v>7</v>
      </c>
      <c r="G103" s="10" t="n">
        <v>3</v>
      </c>
      <c r="H103" s="10" t="s">
        <v>215</v>
      </c>
      <c r="I103" s="32" t="s">
        <v>7</v>
      </c>
      <c r="J103" s="10" t="s">
        <v>234</v>
      </c>
      <c r="K103" s="10" t="s">
        <v>223</v>
      </c>
      <c r="L103" s="10" t="s">
        <v>235</v>
      </c>
      <c r="M103" s="10" t="s">
        <v>236</v>
      </c>
      <c r="O103" s="10" t="n">
        <v>8</v>
      </c>
      <c r="P103" s="10" t="n">
        <v>8</v>
      </c>
      <c r="Q103" s="10" t="s">
        <v>226</v>
      </c>
      <c r="R103" s="10" t="s">
        <v>227</v>
      </c>
      <c r="X103" s="20" t="s">
        <v>237</v>
      </c>
      <c r="Y103" s="20" t="s">
        <v>238</v>
      </c>
    </row>
    <row r="104" customFormat="false" ht="15" hidden="false" customHeight="false" outlineLevel="0" collapsed="false">
      <c r="A104" s="10" t="s">
        <v>212</v>
      </c>
      <c r="B104" s="10" t="n">
        <v>50</v>
      </c>
      <c r="C104" s="10" t="n">
        <v>3</v>
      </c>
      <c r="D104" s="10" t="n">
        <v>0</v>
      </c>
      <c r="E104" s="10" t="s">
        <v>239</v>
      </c>
      <c r="G104" s="10" t="n">
        <v>1</v>
      </c>
      <c r="H104" s="10" t="s">
        <v>215</v>
      </c>
      <c r="I104" s="32" t="s">
        <v>239</v>
      </c>
      <c r="J104" s="10" t="s">
        <v>240</v>
      </c>
      <c r="K104" s="10" t="s">
        <v>223</v>
      </c>
      <c r="L104" s="10" t="s">
        <v>241</v>
      </c>
      <c r="O104" s="10" t="n">
        <v>0</v>
      </c>
      <c r="P104" s="10" t="n">
        <v>25</v>
      </c>
      <c r="Q104" s="10" t="s">
        <v>226</v>
      </c>
      <c r="R104" s="10" t="s">
        <v>227</v>
      </c>
      <c r="X104" s="20" t="s">
        <v>242</v>
      </c>
      <c r="Y104" s="20" t="s">
        <v>243</v>
      </c>
    </row>
    <row r="105" customFormat="false" ht="15" hidden="false" customHeight="false" outlineLevel="0" collapsed="false">
      <c r="A105" s="10" t="s">
        <v>212</v>
      </c>
      <c r="B105" s="10" t="n">
        <v>60</v>
      </c>
      <c r="C105" s="10" t="n">
        <v>3</v>
      </c>
      <c r="D105" s="10" t="n">
        <v>0</v>
      </c>
      <c r="E105" s="10" t="s">
        <v>244</v>
      </c>
      <c r="G105" s="10" t="n">
        <v>1</v>
      </c>
      <c r="H105" s="10" t="s">
        <v>215</v>
      </c>
      <c r="I105" s="32" t="s">
        <v>244</v>
      </c>
      <c r="J105" s="10" t="s">
        <v>234</v>
      </c>
      <c r="K105" s="10" t="s">
        <v>223</v>
      </c>
      <c r="L105" s="10" t="s">
        <v>245</v>
      </c>
      <c r="M105" s="10" t="s">
        <v>246</v>
      </c>
      <c r="O105" s="10" t="n">
        <v>1</v>
      </c>
      <c r="P105" s="10" t="n">
        <v>11</v>
      </c>
      <c r="Q105" s="10" t="s">
        <v>226</v>
      </c>
      <c r="R105" s="10" t="s">
        <v>227</v>
      </c>
      <c r="X105" s="20" t="s">
        <v>247</v>
      </c>
      <c r="Y105" s="20" t="s">
        <v>248</v>
      </c>
    </row>
    <row r="106" customFormat="false" ht="15" hidden="false" customHeight="false" outlineLevel="0" collapsed="false">
      <c r="A106" s="10" t="s">
        <v>212</v>
      </c>
      <c r="B106" s="10" t="n">
        <v>69</v>
      </c>
      <c r="C106" s="10" t="n">
        <v>3</v>
      </c>
      <c r="D106" s="10" t="n">
        <v>0</v>
      </c>
      <c r="E106" s="10" t="s">
        <v>249</v>
      </c>
      <c r="G106" s="10" t="n">
        <v>1</v>
      </c>
      <c r="H106" s="10" t="s">
        <v>215</v>
      </c>
      <c r="I106" s="10" t="s">
        <v>250</v>
      </c>
      <c r="K106" s="10" t="s">
        <v>223</v>
      </c>
      <c r="L106" s="10" t="s">
        <v>251</v>
      </c>
      <c r="M106" s="10" t="s">
        <v>252</v>
      </c>
      <c r="O106" s="10" t="n">
        <v>1</v>
      </c>
      <c r="P106" s="10" t="n">
        <v>12</v>
      </c>
      <c r="Q106" s="10" t="s">
        <v>226</v>
      </c>
      <c r="R106" s="10" t="s">
        <v>227</v>
      </c>
      <c r="X106" s="20" t="s">
        <v>253</v>
      </c>
      <c r="Y106" s="20" t="s">
        <v>254</v>
      </c>
    </row>
    <row r="107" customFormat="false" ht="15" hidden="false" customHeight="false" outlineLevel="0" collapsed="false">
      <c r="A107" s="10" t="s">
        <v>212</v>
      </c>
      <c r="B107" s="10" t="n">
        <v>70</v>
      </c>
      <c r="C107" s="10" t="n">
        <v>3</v>
      </c>
      <c r="D107" s="10" t="n">
        <v>0</v>
      </c>
      <c r="E107" s="10" t="s">
        <v>37</v>
      </c>
      <c r="G107" s="10" t="n">
        <v>1</v>
      </c>
      <c r="H107" s="10" t="s">
        <v>215</v>
      </c>
      <c r="I107" s="10" t="s">
        <v>255</v>
      </c>
      <c r="J107" s="10" t="s">
        <v>234</v>
      </c>
      <c r="K107" s="10" t="s">
        <v>223</v>
      </c>
      <c r="L107" s="10" t="s">
        <v>256</v>
      </c>
      <c r="M107" s="10" t="s">
        <v>252</v>
      </c>
      <c r="O107" s="10" t="n">
        <v>12</v>
      </c>
      <c r="P107" s="10" t="n">
        <v>12</v>
      </c>
      <c r="Q107" s="10" t="s">
        <v>257</v>
      </c>
      <c r="R107" s="10" t="s">
        <v>227</v>
      </c>
      <c r="X107" s="20" t="s">
        <v>258</v>
      </c>
      <c r="Y107" s="20" t="s">
        <v>259</v>
      </c>
    </row>
    <row r="108" customFormat="false" ht="15" hidden="false" customHeight="false" outlineLevel="0" collapsed="false">
      <c r="A108" s="10" t="s">
        <v>212</v>
      </c>
      <c r="B108" s="10" t="n">
        <v>80</v>
      </c>
      <c r="C108" s="10" t="n">
        <v>3</v>
      </c>
      <c r="D108" s="10" t="n">
        <v>0</v>
      </c>
      <c r="E108" s="10" t="s">
        <v>260</v>
      </c>
      <c r="G108" s="10" t="n">
        <v>2</v>
      </c>
      <c r="H108" s="10" t="s">
        <v>215</v>
      </c>
      <c r="I108" s="10" t="s">
        <v>261</v>
      </c>
      <c r="K108" s="10" t="s">
        <v>223</v>
      </c>
      <c r="N108" s="10" t="s">
        <v>262</v>
      </c>
      <c r="O108" s="10" t="n">
        <v>1</v>
      </c>
      <c r="P108" s="10" t="n">
        <v>70</v>
      </c>
      <c r="Q108" s="10" t="s">
        <v>220</v>
      </c>
      <c r="R108" s="10" t="s">
        <v>221</v>
      </c>
      <c r="X108" s="20" t="s">
        <v>263</v>
      </c>
      <c r="Y108" s="20" t="s">
        <v>264</v>
      </c>
    </row>
    <row r="109" customFormat="false" ht="15" hidden="false" customHeight="false" outlineLevel="0" collapsed="false">
      <c r="A109" s="10" t="s">
        <v>212</v>
      </c>
      <c r="B109" s="10" t="n">
        <v>90</v>
      </c>
      <c r="C109" s="10" t="n">
        <v>3</v>
      </c>
      <c r="D109" s="10" t="n">
        <v>0</v>
      </c>
      <c r="E109" s="10" t="s">
        <v>265</v>
      </c>
      <c r="G109" s="10" t="n">
        <v>2</v>
      </c>
      <c r="H109" s="10" t="s">
        <v>215</v>
      </c>
      <c r="I109" s="10" t="s">
        <v>266</v>
      </c>
      <c r="K109" s="10" t="s">
        <v>223</v>
      </c>
      <c r="O109" s="10" t="n">
        <v>0</v>
      </c>
      <c r="P109" s="10" t="n">
        <v>12</v>
      </c>
      <c r="Q109" s="10" t="s">
        <v>226</v>
      </c>
      <c r="R109" s="10" t="s">
        <v>221</v>
      </c>
      <c r="X109" s="20" t="s">
        <v>267</v>
      </c>
      <c r="Y109" s="20" t="s">
        <v>268</v>
      </c>
    </row>
    <row r="110" customFormat="false" ht="15" hidden="false" customHeight="false" outlineLevel="0" collapsed="false">
      <c r="A110" s="10" t="s">
        <v>212</v>
      </c>
      <c r="B110" s="10" t="n">
        <v>100</v>
      </c>
      <c r="C110" s="10" t="n">
        <v>3</v>
      </c>
      <c r="D110" s="10" t="n">
        <v>0</v>
      </c>
      <c r="E110" s="10" t="s">
        <v>269</v>
      </c>
      <c r="G110" s="10" t="n">
        <v>2</v>
      </c>
      <c r="H110" s="10" t="s">
        <v>215</v>
      </c>
      <c r="I110" s="10" t="s">
        <v>270</v>
      </c>
      <c r="K110" s="10" t="s">
        <v>223</v>
      </c>
      <c r="N110" s="10" t="s">
        <v>271</v>
      </c>
      <c r="O110" s="10" t="n">
        <v>1</v>
      </c>
      <c r="P110" s="10" t="n">
        <v>70</v>
      </c>
      <c r="Q110" s="10" t="s">
        <v>220</v>
      </c>
      <c r="R110" s="10" t="s">
        <v>221</v>
      </c>
      <c r="X110" s="20" t="s">
        <v>272</v>
      </c>
      <c r="Y110" s="20" t="s">
        <v>273</v>
      </c>
    </row>
    <row r="111" customFormat="false" ht="15" hidden="false" customHeight="false" outlineLevel="0" collapsed="false">
      <c r="A111" s="10" t="s">
        <v>212</v>
      </c>
      <c r="B111" s="10" t="n">
        <v>119</v>
      </c>
      <c r="C111" s="10" t="n">
        <v>3</v>
      </c>
      <c r="D111" s="10" t="n">
        <v>0</v>
      </c>
      <c r="E111" s="10" t="s">
        <v>274</v>
      </c>
      <c r="G111" s="10" t="n">
        <v>3</v>
      </c>
      <c r="H111" s="10" t="s">
        <v>215</v>
      </c>
      <c r="I111" s="10" t="s">
        <v>8</v>
      </c>
      <c r="J111" s="10" t="s">
        <v>234</v>
      </c>
      <c r="K111" s="10" t="s">
        <v>223</v>
      </c>
      <c r="L111" s="10" t="s">
        <v>275</v>
      </c>
      <c r="M111" s="10" t="s">
        <v>276</v>
      </c>
      <c r="O111" s="10" t="n">
        <v>0</v>
      </c>
      <c r="P111" s="10" t="n">
        <v>70</v>
      </c>
      <c r="Q111" s="10" t="s">
        <v>226</v>
      </c>
      <c r="R111" s="10" t="s">
        <v>221</v>
      </c>
      <c r="X111" s="20" t="s">
        <v>277</v>
      </c>
      <c r="Y111" s="20" t="s">
        <v>248</v>
      </c>
    </row>
    <row r="112" customFormat="false" ht="15" hidden="false" customHeight="false" outlineLevel="0" collapsed="false">
      <c r="A112" s="10" t="s">
        <v>212</v>
      </c>
      <c r="B112" s="10" t="n">
        <v>120</v>
      </c>
      <c r="C112" s="10" t="n">
        <v>4</v>
      </c>
      <c r="D112" s="10" t="n">
        <v>0</v>
      </c>
      <c r="E112" s="10" t="s">
        <v>278</v>
      </c>
      <c r="G112" s="10" t="n">
        <v>4</v>
      </c>
      <c r="H112" s="10" t="s">
        <v>223</v>
      </c>
      <c r="I112" s="10" t="s">
        <v>279</v>
      </c>
      <c r="K112" s="10" t="s">
        <v>223</v>
      </c>
      <c r="O112" s="10" t="n">
        <v>0</v>
      </c>
      <c r="P112" s="10" t="n">
        <v>25</v>
      </c>
      <c r="Q112" s="10" t="s">
        <v>226</v>
      </c>
      <c r="R112" s="10" t="s">
        <v>221</v>
      </c>
      <c r="X112" s="20" t="s">
        <v>280</v>
      </c>
      <c r="Y112" s="20" t="s">
        <v>281</v>
      </c>
    </row>
    <row r="113" customFormat="false" ht="15" hidden="false" customHeight="false" outlineLevel="0" collapsed="false">
      <c r="A113" s="10" t="s">
        <v>212</v>
      </c>
      <c r="B113" s="10" t="n">
        <v>130</v>
      </c>
      <c r="C113" s="10" t="n">
        <v>4</v>
      </c>
      <c r="D113" s="10" t="n">
        <v>0</v>
      </c>
      <c r="E113" s="10" t="s">
        <v>282</v>
      </c>
      <c r="G113" s="10" t="n">
        <v>4</v>
      </c>
      <c r="H113" s="10" t="s">
        <v>223</v>
      </c>
      <c r="I113" s="10" t="s">
        <v>282</v>
      </c>
      <c r="K113" s="10" t="s">
        <v>223</v>
      </c>
      <c r="O113" s="10" t="n">
        <v>1</v>
      </c>
      <c r="P113" s="10" t="n">
        <v>32</v>
      </c>
      <c r="Q113" s="10" t="s">
        <v>226</v>
      </c>
      <c r="R113" s="10" t="s">
        <v>221</v>
      </c>
      <c r="X113" s="20" t="s">
        <v>283</v>
      </c>
      <c r="Y113" s="20" t="s">
        <v>284</v>
      </c>
    </row>
    <row r="114" customFormat="false" ht="15" hidden="false" customHeight="false" outlineLevel="0" collapsed="false">
      <c r="A114" s="10" t="s">
        <v>212</v>
      </c>
      <c r="B114" s="10" t="n">
        <v>140</v>
      </c>
      <c r="C114" s="10" t="n">
        <v>4</v>
      </c>
      <c r="D114" s="10" t="n">
        <v>0</v>
      </c>
      <c r="E114" s="10" t="s">
        <v>285</v>
      </c>
      <c r="G114" s="10" t="n">
        <v>5</v>
      </c>
      <c r="H114" s="10" t="s">
        <v>223</v>
      </c>
      <c r="I114" s="10" t="s">
        <v>285</v>
      </c>
      <c r="K114" s="10" t="s">
        <v>223</v>
      </c>
      <c r="N114" s="10" t="s">
        <v>286</v>
      </c>
      <c r="O114" s="10" t="n">
        <v>0</v>
      </c>
      <c r="P114" s="10" t="n">
        <v>250</v>
      </c>
      <c r="Q114" s="10" t="s">
        <v>226</v>
      </c>
      <c r="R114" s="10" t="s">
        <v>221</v>
      </c>
      <c r="X114" s="20" t="s">
        <v>287</v>
      </c>
      <c r="Y114" s="20" t="s">
        <v>288</v>
      </c>
    </row>
    <row r="115" customFormat="false" ht="12.75" hidden="false" customHeight="true" outlineLevel="0" collapsed="false">
      <c r="X115" s="20" t="s">
        <v>289</v>
      </c>
      <c r="Y115" s="20" t="s">
        <v>290</v>
      </c>
    </row>
    <row r="116" customFormat="false" ht="15" hidden="false" customHeight="false" outlineLevel="0" collapsed="false">
      <c r="X116" s="20" t="s">
        <v>291</v>
      </c>
      <c r="Y116" s="20" t="s">
        <v>292</v>
      </c>
    </row>
    <row r="117" customFormat="false" ht="15" hidden="false" customHeight="false" outlineLevel="0" collapsed="false">
      <c r="X117" s="20" t="s">
        <v>293</v>
      </c>
      <c r="Y117" s="20" t="s">
        <v>248</v>
      </c>
    </row>
    <row r="118" customFormat="false" ht="15" hidden="false" customHeight="false" outlineLevel="0" collapsed="false">
      <c r="X118" s="20" t="s">
        <v>294</v>
      </c>
      <c r="Y118" s="20" t="s">
        <v>295</v>
      </c>
    </row>
    <row r="119" customFormat="false" ht="15" hidden="false" customHeight="false" outlineLevel="0" collapsed="false">
      <c r="X119" s="20" t="s">
        <v>296</v>
      </c>
      <c r="Y119" s="20" t="s">
        <v>297</v>
      </c>
    </row>
    <row r="120" customFormat="false" ht="15" hidden="false" customHeight="false" outlineLevel="0" collapsed="false">
      <c r="X120" s="20" t="s">
        <v>298</v>
      </c>
      <c r="Y120" s="20" t="s">
        <v>299</v>
      </c>
    </row>
    <row r="121" customFormat="false" ht="15" hidden="false" customHeight="false" outlineLevel="0" collapsed="false">
      <c r="X121" s="20" t="s">
        <v>300</v>
      </c>
      <c r="Y121" s="20" t="s">
        <v>248</v>
      </c>
    </row>
    <row r="122" customFormat="false" ht="15" hidden="false" customHeight="false" outlineLevel="0" collapsed="false">
      <c r="X122" s="20" t="s">
        <v>301</v>
      </c>
      <c r="Y122" s="20" t="s">
        <v>302</v>
      </c>
    </row>
    <row r="123" customFormat="false" ht="15" hidden="false" customHeight="false" outlineLevel="0" collapsed="false">
      <c r="X123" s="20" t="s">
        <v>303</v>
      </c>
      <c r="Y123" s="20" t="s">
        <v>304</v>
      </c>
    </row>
    <row r="124" customFormat="false" ht="15" hidden="false" customHeight="false" outlineLevel="0" collapsed="false">
      <c r="X124" s="20" t="s">
        <v>305</v>
      </c>
      <c r="Y124" s="20" t="s">
        <v>306</v>
      </c>
    </row>
    <row r="126" customFormat="false" ht="15" hidden="false" customHeight="false" outlineLevel="0" collapsed="false">
      <c r="X126" s="20" t="s">
        <v>307</v>
      </c>
      <c r="Y126" s="20" t="s">
        <v>308</v>
      </c>
    </row>
    <row r="127" customFormat="false" ht="15" hidden="false" customHeight="false" outlineLevel="0" collapsed="false">
      <c r="X127" s="20" t="s">
        <v>309</v>
      </c>
      <c r="Y127" s="20" t="s">
        <v>310</v>
      </c>
    </row>
    <row r="128" customFormat="false" ht="15" hidden="false" customHeight="false" outlineLevel="0" collapsed="false">
      <c r="X128" s="20" t="s">
        <v>311</v>
      </c>
      <c r="Y128" s="20" t="s">
        <v>312</v>
      </c>
    </row>
    <row r="129" customFormat="false" ht="15" hidden="false" customHeight="false" outlineLevel="0" collapsed="false">
      <c r="X129" s="20" t="s">
        <v>313</v>
      </c>
      <c r="Y129" s="20" t="s">
        <v>314</v>
      </c>
    </row>
    <row r="130" customFormat="false" ht="15" hidden="false" customHeight="false" outlineLevel="0" collapsed="false">
      <c r="X130" s="20" t="s">
        <v>315</v>
      </c>
      <c r="Y130" s="20" t="s">
        <v>316</v>
      </c>
    </row>
    <row r="131" customFormat="false" ht="15" hidden="false" customHeight="false" outlineLevel="0" collapsed="false">
      <c r="X131" s="20" t="s">
        <v>317</v>
      </c>
      <c r="Y131" s="20" t="s">
        <v>318</v>
      </c>
    </row>
    <row r="132" customFormat="false" ht="15" hidden="false" customHeight="false" outlineLevel="0" collapsed="false">
      <c r="X132" s="20" t="s">
        <v>319</v>
      </c>
      <c r="Y132" s="20" t="s">
        <v>320</v>
      </c>
    </row>
    <row r="133" customFormat="false" ht="15" hidden="false" customHeight="false" outlineLevel="0" collapsed="false">
      <c r="X133" s="20" t="s">
        <v>321</v>
      </c>
      <c r="Y133" s="20" t="s">
        <v>322</v>
      </c>
    </row>
    <row r="134" customFormat="false" ht="15" hidden="false" customHeight="false" outlineLevel="0" collapsed="false">
      <c r="X134" s="20" t="s">
        <v>323</v>
      </c>
      <c r="Y134" s="20" t="s">
        <v>324</v>
      </c>
    </row>
    <row r="135" customFormat="false" ht="15" hidden="false" customHeight="false" outlineLevel="0" collapsed="false">
      <c r="X135" s="20" t="s">
        <v>325</v>
      </c>
      <c r="Y135" s="20" t="s">
        <v>326</v>
      </c>
    </row>
    <row r="136" customFormat="false" ht="15" hidden="false" customHeight="false" outlineLevel="0" collapsed="false">
      <c r="X136" s="20" t="s">
        <v>327</v>
      </c>
      <c r="Y136" s="20" t="s">
        <v>328</v>
      </c>
    </row>
    <row r="137" customFormat="false" ht="15" hidden="false" customHeight="false" outlineLevel="0" collapsed="false">
      <c r="X137" s="20" t="s">
        <v>329</v>
      </c>
      <c r="Y137" s="20" t="s">
        <v>330</v>
      </c>
    </row>
    <row r="138" customFormat="false" ht="15" hidden="false" customHeight="false" outlineLevel="0" collapsed="false">
      <c r="X138" s="20" t="s">
        <v>331</v>
      </c>
      <c r="Y138" s="20" t="s">
        <v>332</v>
      </c>
    </row>
    <row r="139" customFormat="false" ht="15" hidden="false" customHeight="false" outlineLevel="0" collapsed="false">
      <c r="X139" s="20" t="s">
        <v>333</v>
      </c>
      <c r="Y139" s="20" t="s">
        <v>334</v>
      </c>
    </row>
    <row r="140" customFormat="false" ht="15" hidden="false" customHeight="false" outlineLevel="0" collapsed="false">
      <c r="X140" s="20" t="s">
        <v>335</v>
      </c>
      <c r="Y140" s="20" t="s">
        <v>336</v>
      </c>
    </row>
    <row r="141" customFormat="false" ht="15" hidden="false" customHeight="false" outlineLevel="0" collapsed="false">
      <c r="X141" s="20" t="s">
        <v>337</v>
      </c>
      <c r="Y141" s="20" t="s">
        <v>338</v>
      </c>
    </row>
  </sheetData>
  <dataValidations count="7">
    <dataValidation allowBlank="true" errorStyle="stop" operator="equal" showDropDown="false" showErrorMessage="true" showInputMessage="true" sqref="B10" type="none">
      <formula1>0</formula1>
      <formula2>0</formula2>
    </dataValidation>
    <dataValidation allowBlank="true" errorStyle="stop" operator="between" showDropDown="false" showErrorMessage="true" showInputMessage="true" sqref="B2" type="list">
      <formula1>INDIRECT($T$1)</formula1>
      <formula2>0</formula2>
    </dataValidation>
    <dataValidation allowBlank="true" error="Длина БИК 9 символов" errorStyle="stop" errorTitle="Внимание" operator="equal" prompt="Длина БИК 9 символов" promptTitle="Внимание" showDropDown="false" showErrorMessage="false" showInputMessage="false" sqref="B8" type="none">
      <formula1>0</formula1>
      <formula2>0</formula2>
    </dataValidation>
    <dataValidation allowBlank="true" errorStyle="stop" operator="between" prompt="Реквизит1=Значение1|Реквизит2=Значение2, т.е. если например задается 2 реквизита, пара Реквизит=Значение разделяются &quot;|&quot;" promptTitle="Пример" showDropDown="false" showErrorMessage="true" showInputMessage="true" sqref="B12" type="none">
      <formula1>0</formula1>
      <formula2>0</formula2>
    </dataValidation>
    <dataValidation allowBlank="true" errorStyle="stop" operator="between" showDropDown="false" showErrorMessage="true" showInputMessage="true" sqref="B14" type="list">
      <formula1>$AB$2:$AB$4</formula1>
      <formula2>0</formula2>
    </dataValidation>
    <dataValidation allowBlank="true" errorStyle="stop" operator="between" showDropDown="false" showErrorMessage="true" showInputMessage="true" sqref="B13" type="list">
      <formula1>$Z$2:$Z$4</formula1>
      <formula2>0</formula2>
    </dataValidation>
    <dataValidation allowBlank="true" errorStyle="stop" operator="between" showDropDown="false" showErrorMessage="true" showInputMessage="true" sqref="B18" type="list">
      <formula1>$AD$2:$AD$3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4" name="Button 2">
              <controlPr defaultSize="0" print="true" autoFill="0" autoPict="0" macro="Module6.SetShablon">
                <anchor moveWithCells="true" sizeWithCells="false">
                  <from>
                    <xdr:col>2</xdr:col>
                    <xdr:colOff>100440</xdr:colOff>
                    <xdr:row>1</xdr:row>
                    <xdr:rowOff>36720</xdr:rowOff>
                  </from>
                  <to>
                    <xdr:col>3</xdr:col>
                    <xdr:colOff>329040</xdr:colOff>
                    <xdr:row>2</xdr:row>
                    <xdr:rowOff>9360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5" name="Button 5">
              <controlPr defaultSize="0" print="true" autoFill="0" autoPict="0" macro="Module2.Worksheet_SelectFolder">
                <anchor moveWithCells="true" sizeWithCells="false">
                  <from>
                    <xdr:col>2</xdr:col>
                    <xdr:colOff>146160</xdr:colOff>
                    <xdr:row>10</xdr:row>
                    <xdr:rowOff>18360</xdr:rowOff>
                  </from>
                  <to>
                    <xdr:col>3</xdr:col>
                    <xdr:colOff>383760</xdr:colOff>
                    <xdr:row>11</xdr:row>
                    <xdr:rowOff>45720</xdr:rowOff>
                  </to>
                </anchor>
              </controlPr>
            </control>
          </mc:Choice>
        </mc:AlternateContent>
      </controls>
    </mc:Choice>
  </mc:AlternateContent>
  <tableParts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2.40234375" defaultRowHeight="12.75" customHeight="true" zeroHeight="false" outlineLevelRow="0" outlineLevelCol="0"/>
  <cols>
    <col collapsed="false" customWidth="true" hidden="false" outlineLevel="0" max="21" min="1" style="33" width="2.2"/>
    <col collapsed="false" customWidth="true" hidden="false" outlineLevel="0" max="22" min="22" style="33" width="6.6"/>
    <col collapsed="false" customWidth="true" hidden="false" outlineLevel="0" max="44" min="23" style="33" width="2.2"/>
    <col collapsed="false" customWidth="true" hidden="false" outlineLevel="0" max="45" min="45" style="33" width="6.6"/>
    <col collapsed="false" customWidth="false" hidden="false" outlineLevel="0" max="16384" min="46" style="33" width="2.4"/>
  </cols>
  <sheetData>
    <row r="1" customFormat="false" ht="6.75" hidden="false" customHeight="true" outlineLevel="0" collapsed="false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6"/>
      <c r="X1" s="34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6"/>
    </row>
    <row r="2" s="38" customFormat="true" ht="12.75" hidden="false" customHeight="true" outlineLevel="0" collapsed="false">
      <c r="A2" s="37" t="str">
        <f aca="false">Name</f>
        <v>Школа АБВ (12377№7_) ТЕСТ ТЕСТ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 t="str">
        <f aca="false">Name</f>
        <v>Школа АБВ (12377№7_) ТЕСТ ТЕСТ</v>
      </c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</row>
    <row r="3" s="38" customFormat="true" ht="12.75" hidden="false" customHeight="true" outlineLevel="0" collapsed="false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</row>
    <row r="4" s="38" customFormat="true" ht="6" hidden="false" customHeight="true" outlineLevel="0" collapsed="false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9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40"/>
    </row>
    <row r="5" s="38" customFormat="true" ht="9.75" hidden="false" customHeight="true" outlineLevel="0" collapsed="false">
      <c r="A5" s="39"/>
      <c r="B5" s="41" t="str">
        <f aca="false">"ИНН "&amp;INN&amp;", БИК "&amp;BIC&amp;", Р/С "&amp;PersonalAcc</f>
        <v>ИНН 9959992999, БИК 0987098980, Р/С 7777777777777777777777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  <c r="P5" s="42"/>
      <c r="Q5" s="42"/>
      <c r="R5" s="42"/>
      <c r="S5" s="42"/>
      <c r="T5" s="42"/>
      <c r="U5" s="42"/>
      <c r="V5" s="42"/>
      <c r="W5" s="40"/>
      <c r="X5" s="39"/>
      <c r="Y5" s="41" t="str">
        <f aca="false">"ИНН "&amp;INN&amp;", БИК "&amp;BIC&amp;", Р/С "&amp;PersonalAcc</f>
        <v>ИНН 9959992999, БИК 0987098980, Р/С 7777777777777777777777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  <c r="AM5" s="42"/>
      <c r="AN5" s="42"/>
      <c r="AO5" s="42"/>
      <c r="AP5" s="42"/>
      <c r="AQ5" s="42"/>
      <c r="AR5" s="42"/>
      <c r="AS5" s="42"/>
      <c r="AT5" s="40"/>
    </row>
    <row r="6" s="38" customFormat="true" ht="9.75" hidden="false" customHeight="true" outlineLevel="0" collapsed="false">
      <c r="A6" s="39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2"/>
      <c r="P6" s="42"/>
      <c r="Q6" s="42"/>
      <c r="R6" s="42"/>
      <c r="S6" s="42"/>
      <c r="T6" s="42"/>
      <c r="U6" s="42"/>
      <c r="V6" s="42"/>
      <c r="W6" s="40"/>
      <c r="X6" s="39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/>
      <c r="AM6" s="42"/>
      <c r="AN6" s="42"/>
      <c r="AO6" s="42"/>
      <c r="AP6" s="42"/>
      <c r="AQ6" s="42"/>
      <c r="AR6" s="42"/>
      <c r="AS6" s="42"/>
      <c r="AT6" s="40"/>
    </row>
    <row r="7" s="38" customFormat="true" ht="6" hidden="false" customHeight="true" outlineLevel="0" collapsed="false">
      <c r="A7" s="39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33"/>
      <c r="P7" s="33"/>
      <c r="Q7" s="33"/>
      <c r="R7" s="33"/>
      <c r="S7" s="33"/>
      <c r="T7" s="33"/>
      <c r="U7" s="33"/>
      <c r="V7" s="33"/>
      <c r="W7" s="40"/>
      <c r="X7" s="39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33"/>
      <c r="AM7" s="33"/>
      <c r="AN7" s="33"/>
      <c r="AO7" s="33"/>
      <c r="AP7" s="33"/>
      <c r="AQ7" s="33"/>
      <c r="AR7" s="33"/>
      <c r="AS7" s="33"/>
      <c r="AT7" s="40"/>
    </row>
    <row r="8" s="38" customFormat="true" ht="7.5" hidden="false" customHeight="true" outlineLevel="0" collapsed="false">
      <c r="A8" s="39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33"/>
      <c r="P8" s="33"/>
      <c r="Q8" s="33"/>
      <c r="R8" s="33"/>
      <c r="S8" s="33"/>
      <c r="T8" s="33"/>
      <c r="U8" s="33"/>
      <c r="V8" s="33"/>
      <c r="W8" s="40"/>
      <c r="X8" s="39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33"/>
      <c r="AM8" s="33"/>
      <c r="AN8" s="33"/>
      <c r="AO8" s="33"/>
      <c r="AP8" s="33"/>
      <c r="AQ8" s="33"/>
      <c r="AR8" s="33"/>
      <c r="AS8" s="33"/>
      <c r="AT8" s="40"/>
    </row>
    <row r="9" s="38" customFormat="true" ht="7.5" hidden="false" customHeight="true" outlineLevel="0" collapsed="false">
      <c r="A9" s="39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33"/>
      <c r="P9" s="33"/>
      <c r="Q9" s="33"/>
      <c r="R9" s="33"/>
      <c r="S9" s="33"/>
      <c r="T9" s="33"/>
      <c r="U9" s="33"/>
      <c r="V9" s="33"/>
      <c r="W9" s="40"/>
      <c r="X9" s="39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33"/>
      <c r="AM9" s="33"/>
      <c r="AN9" s="33"/>
      <c r="AO9" s="33"/>
      <c r="AP9" s="33"/>
      <c r="AQ9" s="33"/>
      <c r="AR9" s="33"/>
      <c r="AS9" s="33"/>
      <c r="AT9" s="40"/>
    </row>
    <row r="10" s="38" customFormat="true" ht="9.75" hidden="false" customHeight="true" outlineLevel="0" collapsed="false">
      <c r="A10" s="39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33"/>
      <c r="P10" s="33"/>
      <c r="Q10" s="33"/>
      <c r="R10" s="33"/>
      <c r="S10" s="33"/>
      <c r="T10" s="33"/>
      <c r="U10" s="33"/>
      <c r="V10" s="33"/>
      <c r="W10" s="40"/>
      <c r="X10" s="39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33"/>
      <c r="AM10" s="33"/>
      <c r="AN10" s="33"/>
      <c r="AO10" s="33"/>
      <c r="AP10" s="33"/>
      <c r="AQ10" s="33"/>
      <c r="AR10" s="33"/>
      <c r="AS10" s="33"/>
      <c r="AT10" s="40"/>
    </row>
    <row r="11" s="38" customFormat="true" ht="7.5" hidden="false" customHeight="true" outlineLevel="0" collapsed="false">
      <c r="A11" s="39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33"/>
      <c r="P11" s="33"/>
      <c r="Q11" s="33"/>
      <c r="R11" s="33"/>
      <c r="S11" s="33"/>
      <c r="T11" s="33"/>
      <c r="U11" s="33"/>
      <c r="V11" s="33"/>
      <c r="W11" s="40"/>
      <c r="X11" s="39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33"/>
      <c r="AM11" s="33"/>
      <c r="AN11" s="33"/>
      <c r="AO11" s="33"/>
      <c r="AP11" s="33"/>
      <c r="AQ11" s="33"/>
      <c r="AR11" s="33"/>
      <c r="AS11" s="33"/>
      <c r="AT11" s="40"/>
    </row>
    <row r="12" s="38" customFormat="true" ht="7.5" hidden="false" customHeight="true" outlineLevel="0" collapsed="false">
      <c r="A12" s="39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33"/>
      <c r="P12" s="33"/>
      <c r="Q12" s="33"/>
      <c r="R12" s="33"/>
      <c r="S12" s="33"/>
      <c r="T12" s="33"/>
      <c r="U12" s="33"/>
      <c r="V12" s="33"/>
      <c r="W12" s="40"/>
      <c r="X12" s="39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33"/>
      <c r="AM12" s="33"/>
      <c r="AN12" s="33"/>
      <c r="AO12" s="33"/>
      <c r="AP12" s="33"/>
      <c r="AQ12" s="33"/>
      <c r="AR12" s="33"/>
      <c r="AS12" s="33"/>
      <c r="AT12" s="40"/>
    </row>
    <row r="13" s="38" customFormat="true" ht="9.75" hidden="false" customHeight="true" outlineLevel="0" collapsed="false">
      <c r="A13" s="39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33"/>
      <c r="P13" s="33"/>
      <c r="Q13" s="33"/>
      <c r="R13" s="33"/>
      <c r="S13" s="33"/>
      <c r="T13" s="33"/>
      <c r="U13" s="33"/>
      <c r="V13" s="33"/>
      <c r="W13" s="40"/>
      <c r="X13" s="39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33"/>
      <c r="AM13" s="33"/>
      <c r="AN13" s="33"/>
      <c r="AO13" s="33"/>
      <c r="AP13" s="33"/>
      <c r="AQ13" s="33"/>
      <c r="AR13" s="33"/>
      <c r="AS13" s="33"/>
      <c r="AT13" s="40"/>
    </row>
    <row r="14" s="38" customFormat="true" ht="7.5" hidden="false" customHeight="true" outlineLevel="0" collapsed="false">
      <c r="A14" s="39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33"/>
      <c r="P14" s="33"/>
      <c r="Q14" s="33"/>
      <c r="R14" s="33"/>
      <c r="S14" s="33"/>
      <c r="T14" s="33"/>
      <c r="U14" s="33"/>
      <c r="V14" s="33"/>
      <c r="W14" s="40"/>
      <c r="X14" s="39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33"/>
      <c r="AM14" s="33"/>
      <c r="AN14" s="33"/>
      <c r="AO14" s="33"/>
      <c r="AP14" s="33"/>
      <c r="AQ14" s="33"/>
      <c r="AR14" s="33"/>
      <c r="AS14" s="33"/>
      <c r="AT14" s="40"/>
    </row>
    <row r="15" s="38" customFormat="true" ht="7.5" hidden="false" customHeight="true" outlineLevel="0" collapsed="false">
      <c r="A15" s="39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33"/>
      <c r="P15" s="33"/>
      <c r="Q15" s="33"/>
      <c r="R15" s="33"/>
      <c r="S15" s="33"/>
      <c r="T15" s="33"/>
      <c r="U15" s="33"/>
      <c r="V15" s="33"/>
      <c r="W15" s="40"/>
      <c r="X15" s="39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33"/>
      <c r="AM15" s="33"/>
      <c r="AN15" s="33"/>
      <c r="AO15" s="33"/>
      <c r="AP15" s="33"/>
      <c r="AQ15" s="33"/>
      <c r="AR15" s="33"/>
      <c r="AS15" s="33"/>
      <c r="AT15" s="40"/>
    </row>
    <row r="16" s="38" customFormat="true" ht="9.75" hidden="false" customHeight="true" outlineLevel="0" collapsed="false">
      <c r="A16" s="39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40"/>
      <c r="X16" s="39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40"/>
    </row>
    <row r="17" s="38" customFormat="true" ht="7.5" hidden="false" customHeight="true" outlineLevel="0" collapsed="false">
      <c r="A17" s="39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33"/>
      <c r="P17" s="33"/>
      <c r="Q17" s="33"/>
      <c r="R17" s="33"/>
      <c r="S17" s="33"/>
      <c r="T17" s="33"/>
      <c r="U17" s="33"/>
      <c r="V17" s="33"/>
      <c r="W17" s="40"/>
      <c r="X17" s="39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33"/>
      <c r="AM17" s="33"/>
      <c r="AN17" s="33"/>
      <c r="AO17" s="33"/>
      <c r="AP17" s="33"/>
      <c r="AQ17" s="33"/>
      <c r="AR17" s="33"/>
      <c r="AS17" s="33"/>
      <c r="AT17" s="40"/>
    </row>
    <row r="18" s="38" customFormat="true" ht="9.75" hidden="false" customHeight="true" outlineLevel="0" collapsed="false">
      <c r="A18" s="39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33"/>
      <c r="P18" s="33"/>
      <c r="Q18" s="33"/>
      <c r="R18" s="33"/>
      <c r="S18" s="33"/>
      <c r="T18" s="33"/>
      <c r="U18" s="33"/>
      <c r="V18" s="33"/>
      <c r="W18" s="40"/>
      <c r="X18" s="39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33"/>
      <c r="AM18" s="33"/>
      <c r="AN18" s="33"/>
      <c r="AO18" s="33"/>
      <c r="AP18" s="33"/>
      <c r="AQ18" s="33"/>
      <c r="AR18" s="33"/>
      <c r="AS18" s="33"/>
      <c r="AT18" s="40"/>
    </row>
    <row r="19" s="38" customFormat="true" ht="9.75" hidden="false" customHeight="true" outlineLevel="0" collapsed="false">
      <c r="A19" s="39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33"/>
      <c r="P19" s="33"/>
      <c r="Q19" s="33"/>
      <c r="R19" s="33"/>
      <c r="S19" s="33"/>
      <c r="T19" s="33"/>
      <c r="U19" s="33"/>
      <c r="V19" s="33"/>
      <c r="W19" s="40"/>
      <c r="X19" s="39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33"/>
      <c r="AM19" s="33"/>
      <c r="AN19" s="33"/>
      <c r="AO19" s="33"/>
      <c r="AP19" s="33"/>
      <c r="AQ19" s="33"/>
      <c r="AR19" s="33"/>
      <c r="AS19" s="33"/>
      <c r="AT19" s="40"/>
    </row>
    <row r="20" s="38" customFormat="true" ht="9.75" hidden="false" customHeight="true" outlineLevel="0" collapsed="false">
      <c r="A20" s="39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33"/>
      <c r="P20" s="33"/>
      <c r="Q20" s="33"/>
      <c r="R20" s="33"/>
      <c r="S20" s="33"/>
      <c r="T20" s="33"/>
      <c r="U20" s="33"/>
      <c r="V20" s="33"/>
      <c r="W20" s="40"/>
      <c r="X20" s="39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33"/>
      <c r="AM20" s="33"/>
      <c r="AN20" s="33"/>
      <c r="AO20" s="33"/>
      <c r="AP20" s="33"/>
      <c r="AQ20" s="33"/>
      <c r="AR20" s="33"/>
      <c r="AS20" s="33"/>
      <c r="AT20" s="40"/>
    </row>
    <row r="21" s="38" customFormat="true" ht="6" hidden="false" customHeight="true" outlineLevel="0" collapsed="false">
      <c r="A21" s="45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6"/>
      <c r="P21" s="46"/>
      <c r="Q21" s="46"/>
      <c r="R21" s="46"/>
      <c r="S21" s="46"/>
      <c r="T21" s="46"/>
      <c r="U21" s="46"/>
      <c r="V21" s="46"/>
      <c r="W21" s="47"/>
      <c r="X21" s="45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6"/>
      <c r="AM21" s="46"/>
      <c r="AN21" s="46"/>
      <c r="AO21" s="46"/>
      <c r="AP21" s="46"/>
      <c r="AQ21" s="46"/>
      <c r="AR21" s="46"/>
      <c r="AS21" s="46"/>
      <c r="AT21" s="47"/>
    </row>
    <row r="22" customFormat="false" ht="6.75" hidden="false" customHeight="true" outlineLevel="0" collapsed="false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6"/>
      <c r="X22" s="34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6"/>
    </row>
    <row r="23" s="38" customFormat="true" ht="12.75" hidden="false" customHeight="true" outlineLevel="0" collapsed="false">
      <c r="A23" s="37" t="str">
        <f aca="false">Name</f>
        <v>Школа АБВ (12377№7_) ТЕСТ ТЕСТ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 t="str">
        <f aca="false">Name</f>
        <v>Школа АБВ (12377№7_) ТЕСТ ТЕСТ</v>
      </c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s="38" customFormat="true" ht="12.75" hidden="false" customHeight="tru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s="38" customFormat="true" ht="6" hidden="false" customHeight="true" outlineLevel="0" collapsed="false">
      <c r="A25" s="39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40"/>
      <c r="X25" s="39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40"/>
    </row>
    <row r="26" s="38" customFormat="true" ht="9.75" hidden="false" customHeight="true" outlineLevel="0" collapsed="false">
      <c r="A26" s="39"/>
      <c r="B26" s="41" t="str">
        <f aca="false">"ИНН "&amp;INN&amp;", БИК "&amp;BIC&amp;", Р/С "&amp;PersonalAcc</f>
        <v>ИНН 9959992999, БИК 0987098980, Р/С 7777777777777777777777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2"/>
      <c r="P26" s="42"/>
      <c r="Q26" s="42"/>
      <c r="R26" s="42"/>
      <c r="S26" s="42"/>
      <c r="T26" s="42"/>
      <c r="U26" s="42"/>
      <c r="V26" s="42"/>
      <c r="W26" s="40"/>
      <c r="X26" s="39"/>
      <c r="Y26" s="41" t="str">
        <f aca="false">"ИНН "&amp;INN&amp;", БИК "&amp;BIC&amp;", Р/С "&amp;PersonalAcc</f>
        <v>ИНН 9959992999, БИК 0987098980, Р/С 7777777777777777777777</v>
      </c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2"/>
      <c r="AM26" s="42"/>
      <c r="AN26" s="42"/>
      <c r="AO26" s="42"/>
      <c r="AP26" s="42"/>
      <c r="AQ26" s="42"/>
      <c r="AR26" s="42"/>
      <c r="AS26" s="42"/>
      <c r="AT26" s="40"/>
    </row>
    <row r="27" s="38" customFormat="true" ht="9.75" hidden="false" customHeight="true" outlineLevel="0" collapsed="false">
      <c r="A27" s="39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2"/>
      <c r="P27" s="42"/>
      <c r="Q27" s="42"/>
      <c r="R27" s="42"/>
      <c r="S27" s="42"/>
      <c r="T27" s="42"/>
      <c r="U27" s="42"/>
      <c r="V27" s="42"/>
      <c r="W27" s="40"/>
      <c r="X27" s="39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2"/>
      <c r="AM27" s="42"/>
      <c r="AN27" s="42"/>
      <c r="AO27" s="42"/>
      <c r="AP27" s="42"/>
      <c r="AQ27" s="42"/>
      <c r="AR27" s="42"/>
      <c r="AS27" s="42"/>
      <c r="AT27" s="40"/>
    </row>
    <row r="28" s="38" customFormat="true" ht="6" hidden="false" customHeight="true" outlineLevel="0" collapsed="false">
      <c r="A28" s="39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33"/>
      <c r="P28" s="33"/>
      <c r="Q28" s="33"/>
      <c r="R28" s="33"/>
      <c r="S28" s="33"/>
      <c r="T28" s="33"/>
      <c r="U28" s="33"/>
      <c r="V28" s="33"/>
      <c r="W28" s="40"/>
      <c r="X28" s="39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33"/>
      <c r="AM28" s="33"/>
      <c r="AN28" s="33"/>
      <c r="AO28" s="33"/>
      <c r="AP28" s="33"/>
      <c r="AQ28" s="33"/>
      <c r="AR28" s="33"/>
      <c r="AS28" s="33"/>
      <c r="AT28" s="40"/>
    </row>
    <row r="29" s="38" customFormat="true" ht="7.5" hidden="false" customHeight="true" outlineLevel="0" collapsed="false">
      <c r="A29" s="39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33"/>
      <c r="P29" s="33"/>
      <c r="Q29" s="33"/>
      <c r="R29" s="33"/>
      <c r="S29" s="33"/>
      <c r="T29" s="33"/>
      <c r="U29" s="33"/>
      <c r="V29" s="33"/>
      <c r="W29" s="40"/>
      <c r="X29" s="39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33"/>
      <c r="AM29" s="33"/>
      <c r="AN29" s="33"/>
      <c r="AO29" s="33"/>
      <c r="AP29" s="33"/>
      <c r="AQ29" s="33"/>
      <c r="AR29" s="33"/>
      <c r="AS29" s="33"/>
      <c r="AT29" s="40"/>
    </row>
    <row r="30" s="38" customFormat="true" ht="7.5" hidden="false" customHeight="true" outlineLevel="0" collapsed="false">
      <c r="A30" s="39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33"/>
      <c r="P30" s="33"/>
      <c r="Q30" s="33"/>
      <c r="R30" s="33"/>
      <c r="S30" s="33"/>
      <c r="T30" s="33"/>
      <c r="U30" s="33"/>
      <c r="V30" s="33"/>
      <c r="W30" s="40"/>
      <c r="X30" s="39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33"/>
      <c r="AM30" s="33"/>
      <c r="AN30" s="33"/>
      <c r="AO30" s="33"/>
      <c r="AP30" s="33"/>
      <c r="AQ30" s="33"/>
      <c r="AR30" s="33"/>
      <c r="AS30" s="33"/>
      <c r="AT30" s="40"/>
    </row>
    <row r="31" s="38" customFormat="true" ht="9.75" hidden="false" customHeight="true" outlineLevel="0" collapsed="false">
      <c r="A31" s="39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33"/>
      <c r="P31" s="33"/>
      <c r="Q31" s="33"/>
      <c r="R31" s="33"/>
      <c r="S31" s="33"/>
      <c r="T31" s="33"/>
      <c r="U31" s="33"/>
      <c r="V31" s="33"/>
      <c r="W31" s="40"/>
      <c r="X31" s="39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33"/>
      <c r="AM31" s="33"/>
      <c r="AN31" s="33"/>
      <c r="AO31" s="33"/>
      <c r="AP31" s="33"/>
      <c r="AQ31" s="33"/>
      <c r="AR31" s="33"/>
      <c r="AS31" s="33"/>
      <c r="AT31" s="40"/>
    </row>
    <row r="32" s="38" customFormat="true" ht="7.5" hidden="false" customHeight="true" outlineLevel="0" collapsed="false">
      <c r="A32" s="39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33"/>
      <c r="P32" s="33"/>
      <c r="Q32" s="33"/>
      <c r="R32" s="33"/>
      <c r="S32" s="33"/>
      <c r="T32" s="33"/>
      <c r="U32" s="33"/>
      <c r="V32" s="33"/>
      <c r="W32" s="40"/>
      <c r="X32" s="39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33"/>
      <c r="AM32" s="33"/>
      <c r="AN32" s="33"/>
      <c r="AO32" s="33"/>
      <c r="AP32" s="33"/>
      <c r="AQ32" s="33"/>
      <c r="AR32" s="33"/>
      <c r="AS32" s="33"/>
      <c r="AT32" s="40"/>
    </row>
    <row r="33" s="38" customFormat="true" ht="7.5" hidden="false" customHeight="true" outlineLevel="0" collapsed="false">
      <c r="A33" s="39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33"/>
      <c r="P33" s="33"/>
      <c r="Q33" s="33"/>
      <c r="R33" s="33"/>
      <c r="S33" s="33"/>
      <c r="T33" s="33"/>
      <c r="U33" s="33"/>
      <c r="V33" s="33"/>
      <c r="W33" s="40"/>
      <c r="X33" s="39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33"/>
      <c r="AM33" s="33"/>
      <c r="AN33" s="33"/>
      <c r="AO33" s="33"/>
      <c r="AP33" s="33"/>
      <c r="AQ33" s="33"/>
      <c r="AR33" s="33"/>
      <c r="AS33" s="33"/>
      <c r="AT33" s="40"/>
    </row>
    <row r="34" s="38" customFormat="true" ht="9.75" hidden="false" customHeight="true" outlineLevel="0" collapsed="false">
      <c r="A34" s="39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33"/>
      <c r="P34" s="33"/>
      <c r="Q34" s="33"/>
      <c r="R34" s="33"/>
      <c r="S34" s="33"/>
      <c r="T34" s="33"/>
      <c r="U34" s="33"/>
      <c r="V34" s="33"/>
      <c r="W34" s="40"/>
      <c r="X34" s="39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33"/>
      <c r="AM34" s="33"/>
      <c r="AN34" s="33"/>
      <c r="AO34" s="33"/>
      <c r="AP34" s="33"/>
      <c r="AQ34" s="33"/>
      <c r="AR34" s="33"/>
      <c r="AS34" s="33"/>
      <c r="AT34" s="40"/>
    </row>
    <row r="35" s="38" customFormat="true" ht="7.5" hidden="false" customHeight="true" outlineLevel="0" collapsed="false">
      <c r="A35" s="39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33"/>
      <c r="P35" s="33"/>
      <c r="Q35" s="33"/>
      <c r="R35" s="33"/>
      <c r="S35" s="33"/>
      <c r="T35" s="33"/>
      <c r="U35" s="33"/>
      <c r="V35" s="33"/>
      <c r="W35" s="40"/>
      <c r="X35" s="39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33"/>
      <c r="AM35" s="33"/>
      <c r="AN35" s="33"/>
      <c r="AO35" s="33"/>
      <c r="AP35" s="33"/>
      <c r="AQ35" s="33"/>
      <c r="AR35" s="33"/>
      <c r="AS35" s="33"/>
      <c r="AT35" s="40"/>
    </row>
    <row r="36" s="38" customFormat="true" ht="7.5" hidden="false" customHeight="true" outlineLevel="0" collapsed="false">
      <c r="A36" s="39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33"/>
      <c r="P36" s="33"/>
      <c r="Q36" s="33"/>
      <c r="R36" s="33"/>
      <c r="S36" s="33"/>
      <c r="T36" s="33"/>
      <c r="U36" s="33"/>
      <c r="V36" s="33"/>
      <c r="W36" s="40"/>
      <c r="X36" s="39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33"/>
      <c r="AM36" s="33"/>
      <c r="AN36" s="33"/>
      <c r="AO36" s="33"/>
      <c r="AP36" s="33"/>
      <c r="AQ36" s="33"/>
      <c r="AR36" s="33"/>
      <c r="AS36" s="33"/>
      <c r="AT36" s="40"/>
    </row>
    <row r="37" s="38" customFormat="true" ht="9.75" hidden="false" customHeight="true" outlineLevel="0" collapsed="false">
      <c r="A37" s="39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40"/>
      <c r="X37" s="39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40"/>
    </row>
    <row r="38" s="38" customFormat="true" ht="7.5" hidden="false" customHeight="true" outlineLevel="0" collapsed="false">
      <c r="A38" s="39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33"/>
      <c r="P38" s="33"/>
      <c r="Q38" s="33"/>
      <c r="R38" s="33"/>
      <c r="S38" s="33"/>
      <c r="T38" s="33"/>
      <c r="U38" s="33"/>
      <c r="V38" s="33"/>
      <c r="W38" s="40"/>
      <c r="X38" s="39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33"/>
      <c r="AM38" s="33"/>
      <c r="AN38" s="33"/>
      <c r="AO38" s="33"/>
      <c r="AP38" s="33"/>
      <c r="AQ38" s="33"/>
      <c r="AR38" s="33"/>
      <c r="AS38" s="33"/>
      <c r="AT38" s="40"/>
    </row>
    <row r="39" s="38" customFormat="true" ht="9.75" hidden="false" customHeight="true" outlineLevel="0" collapsed="false">
      <c r="A39" s="39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33"/>
      <c r="P39" s="33"/>
      <c r="Q39" s="33"/>
      <c r="R39" s="33"/>
      <c r="S39" s="33"/>
      <c r="T39" s="33"/>
      <c r="U39" s="33"/>
      <c r="V39" s="33"/>
      <c r="W39" s="40"/>
      <c r="X39" s="39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33"/>
      <c r="AM39" s="33"/>
      <c r="AN39" s="33"/>
      <c r="AO39" s="33"/>
      <c r="AP39" s="33"/>
      <c r="AQ39" s="33"/>
      <c r="AR39" s="33"/>
      <c r="AS39" s="33"/>
      <c r="AT39" s="40"/>
    </row>
    <row r="40" s="38" customFormat="true" ht="9.75" hidden="false" customHeight="true" outlineLevel="0" collapsed="false">
      <c r="A40" s="39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33"/>
      <c r="P40" s="33"/>
      <c r="Q40" s="33"/>
      <c r="R40" s="33"/>
      <c r="S40" s="33"/>
      <c r="T40" s="33"/>
      <c r="U40" s="33"/>
      <c r="V40" s="33"/>
      <c r="W40" s="40"/>
      <c r="X40" s="39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33"/>
      <c r="AM40" s="33"/>
      <c r="AN40" s="33"/>
      <c r="AO40" s="33"/>
      <c r="AP40" s="33"/>
      <c r="AQ40" s="33"/>
      <c r="AR40" s="33"/>
      <c r="AS40" s="33"/>
      <c r="AT40" s="40"/>
    </row>
    <row r="41" s="38" customFormat="true" ht="9.75" hidden="false" customHeight="true" outlineLevel="0" collapsed="false">
      <c r="A41" s="39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33"/>
      <c r="P41" s="33"/>
      <c r="Q41" s="33"/>
      <c r="R41" s="33"/>
      <c r="S41" s="33"/>
      <c r="T41" s="33"/>
      <c r="U41" s="33"/>
      <c r="V41" s="33"/>
      <c r="W41" s="40"/>
      <c r="X41" s="39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33"/>
      <c r="AM41" s="33"/>
      <c r="AN41" s="33"/>
      <c r="AO41" s="33"/>
      <c r="AP41" s="33"/>
      <c r="AQ41" s="33"/>
      <c r="AR41" s="33"/>
      <c r="AS41" s="33"/>
      <c r="AT41" s="40"/>
    </row>
    <row r="42" s="38" customFormat="true" ht="6" hidden="false" customHeight="true" outlineLevel="0" collapsed="false">
      <c r="A42" s="45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6"/>
      <c r="P42" s="46"/>
      <c r="Q42" s="46"/>
      <c r="R42" s="46"/>
      <c r="S42" s="46"/>
      <c r="T42" s="46"/>
      <c r="U42" s="46"/>
      <c r="V42" s="46"/>
      <c r="W42" s="47"/>
      <c r="X42" s="45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6"/>
      <c r="AM42" s="46"/>
      <c r="AN42" s="46"/>
      <c r="AO42" s="46"/>
      <c r="AP42" s="46"/>
      <c r="AQ42" s="46"/>
      <c r="AR42" s="46"/>
      <c r="AS42" s="46"/>
      <c r="AT42" s="47"/>
    </row>
    <row r="43" s="38" customFormat="true" ht="9.75" hidden="false" customHeight="true" outlineLevel="0" collapsed="false">
      <c r="A43" s="34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6"/>
      <c r="X43" s="34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6"/>
    </row>
    <row r="44" s="38" customFormat="true" ht="12.75" hidden="false" customHeight="true" outlineLevel="0" collapsed="false">
      <c r="A44" s="37" t="str">
        <f aca="false">Name</f>
        <v>Школа АБВ (12377№7_) ТЕСТ ТЕСТ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 t="str">
        <f aca="false">Name</f>
        <v>Школа АБВ (12377№7_) ТЕСТ ТЕСТ</v>
      </c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s="38" customFormat="true" ht="12.7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s="38" customFormat="true" ht="6" hidden="false" customHeight="true" outlineLevel="0" collapsed="false">
      <c r="A46" s="39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40"/>
      <c r="X46" s="39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40"/>
    </row>
    <row r="47" s="38" customFormat="true" ht="9.75" hidden="false" customHeight="true" outlineLevel="0" collapsed="false">
      <c r="A47" s="39"/>
      <c r="B47" s="41" t="str">
        <f aca="false">"ИНН "&amp;INN&amp;", БИК "&amp;BIC&amp;", Р/С "&amp;PersonalAcc</f>
        <v>ИНН 9959992999, БИК 0987098980, Р/С 7777777777777777777777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2"/>
      <c r="P47" s="42"/>
      <c r="Q47" s="42"/>
      <c r="R47" s="42"/>
      <c r="S47" s="42"/>
      <c r="T47" s="42"/>
      <c r="U47" s="42"/>
      <c r="V47" s="42"/>
      <c r="W47" s="40"/>
      <c r="X47" s="39"/>
      <c r="Y47" s="41" t="str">
        <f aca="false">"ИНН "&amp;INN&amp;", БИК "&amp;BIC&amp;", Р/С "&amp;PersonalAcc</f>
        <v>ИНН 9959992999, БИК 0987098980, Р/С 7777777777777777777777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2"/>
      <c r="AM47" s="42"/>
      <c r="AN47" s="42"/>
      <c r="AO47" s="42"/>
      <c r="AP47" s="42"/>
      <c r="AQ47" s="42"/>
      <c r="AR47" s="42"/>
      <c r="AS47" s="42"/>
      <c r="AT47" s="40"/>
    </row>
    <row r="48" s="38" customFormat="true" ht="9.75" hidden="false" customHeight="true" outlineLevel="0" collapsed="false">
      <c r="A48" s="39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2"/>
      <c r="P48" s="42"/>
      <c r="Q48" s="42"/>
      <c r="R48" s="42"/>
      <c r="S48" s="42"/>
      <c r="T48" s="42"/>
      <c r="U48" s="42"/>
      <c r="V48" s="42"/>
      <c r="W48" s="40"/>
      <c r="X48" s="39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2"/>
      <c r="AM48" s="42"/>
      <c r="AN48" s="42"/>
      <c r="AO48" s="42"/>
      <c r="AP48" s="42"/>
      <c r="AQ48" s="42"/>
      <c r="AR48" s="42"/>
      <c r="AS48" s="42"/>
      <c r="AT48" s="40"/>
    </row>
    <row r="49" s="38" customFormat="true" ht="6" hidden="false" customHeight="true" outlineLevel="0" collapsed="false">
      <c r="A49" s="3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33"/>
      <c r="P49" s="33"/>
      <c r="Q49" s="33"/>
      <c r="R49" s="33"/>
      <c r="S49" s="33"/>
      <c r="T49" s="33"/>
      <c r="U49" s="33"/>
      <c r="V49" s="33"/>
      <c r="W49" s="40"/>
      <c r="X49" s="39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33"/>
      <c r="AM49" s="33"/>
      <c r="AN49" s="33"/>
      <c r="AO49" s="33"/>
      <c r="AP49" s="33"/>
      <c r="AQ49" s="33"/>
      <c r="AR49" s="33"/>
      <c r="AS49" s="33"/>
      <c r="AT49" s="40"/>
    </row>
    <row r="50" s="38" customFormat="true" ht="7.5" hidden="false" customHeight="true" outlineLevel="0" collapsed="false">
      <c r="A50" s="3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33"/>
      <c r="P50" s="33"/>
      <c r="Q50" s="33"/>
      <c r="R50" s="33"/>
      <c r="S50" s="33"/>
      <c r="T50" s="33"/>
      <c r="U50" s="33"/>
      <c r="V50" s="33"/>
      <c r="W50" s="40"/>
      <c r="X50" s="39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33"/>
      <c r="AM50" s="33"/>
      <c r="AN50" s="33"/>
      <c r="AO50" s="33"/>
      <c r="AP50" s="33"/>
      <c r="AQ50" s="33"/>
      <c r="AR50" s="33"/>
      <c r="AS50" s="33"/>
      <c r="AT50" s="40"/>
    </row>
    <row r="51" s="38" customFormat="true" ht="7.5" hidden="false" customHeight="true" outlineLevel="0" collapsed="false">
      <c r="A51" s="39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33"/>
      <c r="P51" s="33"/>
      <c r="Q51" s="33"/>
      <c r="R51" s="33"/>
      <c r="S51" s="33"/>
      <c r="T51" s="33"/>
      <c r="U51" s="33"/>
      <c r="V51" s="33"/>
      <c r="W51" s="40"/>
      <c r="X51" s="39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33"/>
      <c r="AM51" s="33"/>
      <c r="AN51" s="33"/>
      <c r="AO51" s="33"/>
      <c r="AP51" s="33"/>
      <c r="AQ51" s="33"/>
      <c r="AR51" s="33"/>
      <c r="AS51" s="33"/>
      <c r="AT51" s="40"/>
    </row>
    <row r="52" s="38" customFormat="true" ht="9.75" hidden="false" customHeight="true" outlineLevel="0" collapsed="false">
      <c r="A52" s="39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33"/>
      <c r="P52" s="33"/>
      <c r="Q52" s="33"/>
      <c r="R52" s="33"/>
      <c r="S52" s="33"/>
      <c r="T52" s="33"/>
      <c r="U52" s="33"/>
      <c r="V52" s="33"/>
      <c r="W52" s="40"/>
      <c r="X52" s="39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33"/>
      <c r="AM52" s="33"/>
      <c r="AN52" s="33"/>
      <c r="AO52" s="33"/>
      <c r="AP52" s="33"/>
      <c r="AQ52" s="33"/>
      <c r="AR52" s="33"/>
      <c r="AS52" s="33"/>
      <c r="AT52" s="40"/>
    </row>
    <row r="53" s="38" customFormat="true" ht="7.5" hidden="false" customHeight="true" outlineLevel="0" collapsed="false">
      <c r="A53" s="39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33"/>
      <c r="P53" s="33"/>
      <c r="Q53" s="33"/>
      <c r="R53" s="33"/>
      <c r="S53" s="33"/>
      <c r="T53" s="33"/>
      <c r="U53" s="33"/>
      <c r="V53" s="33"/>
      <c r="W53" s="40"/>
      <c r="X53" s="39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33"/>
      <c r="AM53" s="33"/>
      <c r="AN53" s="33"/>
      <c r="AO53" s="33"/>
      <c r="AP53" s="33"/>
      <c r="AQ53" s="33"/>
      <c r="AR53" s="33"/>
      <c r="AS53" s="33"/>
      <c r="AT53" s="40"/>
    </row>
    <row r="54" s="38" customFormat="true" ht="7.5" hidden="false" customHeight="true" outlineLevel="0" collapsed="false">
      <c r="A54" s="39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33"/>
      <c r="P54" s="33"/>
      <c r="Q54" s="33"/>
      <c r="R54" s="33"/>
      <c r="S54" s="33"/>
      <c r="T54" s="33"/>
      <c r="U54" s="33"/>
      <c r="V54" s="33"/>
      <c r="W54" s="40"/>
      <c r="X54" s="39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33"/>
      <c r="AM54" s="33"/>
      <c r="AN54" s="33"/>
      <c r="AO54" s="33"/>
      <c r="AP54" s="33"/>
      <c r="AQ54" s="33"/>
      <c r="AR54" s="33"/>
      <c r="AS54" s="33"/>
      <c r="AT54" s="40"/>
    </row>
    <row r="55" s="38" customFormat="true" ht="9.75" hidden="false" customHeight="true" outlineLevel="0" collapsed="false">
      <c r="A55" s="39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33"/>
      <c r="P55" s="33"/>
      <c r="Q55" s="33"/>
      <c r="R55" s="33"/>
      <c r="S55" s="33"/>
      <c r="T55" s="33"/>
      <c r="U55" s="33"/>
      <c r="V55" s="33"/>
      <c r="W55" s="40"/>
      <c r="X55" s="39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33"/>
      <c r="AM55" s="33"/>
      <c r="AN55" s="33"/>
      <c r="AO55" s="33"/>
      <c r="AP55" s="33"/>
      <c r="AQ55" s="33"/>
      <c r="AR55" s="33"/>
      <c r="AS55" s="33"/>
      <c r="AT55" s="40"/>
    </row>
    <row r="56" s="38" customFormat="true" ht="7.5" hidden="false" customHeight="true" outlineLevel="0" collapsed="false">
      <c r="A56" s="39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33"/>
      <c r="P56" s="33"/>
      <c r="Q56" s="33"/>
      <c r="R56" s="33"/>
      <c r="S56" s="33"/>
      <c r="T56" s="33"/>
      <c r="U56" s="33"/>
      <c r="V56" s="33"/>
      <c r="W56" s="40"/>
      <c r="X56" s="39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33"/>
      <c r="AM56" s="33"/>
      <c r="AN56" s="33"/>
      <c r="AO56" s="33"/>
      <c r="AP56" s="33"/>
      <c r="AQ56" s="33"/>
      <c r="AR56" s="33"/>
      <c r="AS56" s="33"/>
      <c r="AT56" s="40"/>
    </row>
    <row r="57" s="38" customFormat="true" ht="7.5" hidden="false" customHeight="true" outlineLevel="0" collapsed="false">
      <c r="A57" s="3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33"/>
      <c r="P57" s="33"/>
      <c r="Q57" s="33"/>
      <c r="R57" s="33"/>
      <c r="S57" s="33"/>
      <c r="T57" s="33"/>
      <c r="U57" s="33"/>
      <c r="V57" s="33"/>
      <c r="W57" s="40"/>
      <c r="X57" s="39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33"/>
      <c r="AM57" s="33"/>
      <c r="AN57" s="33"/>
      <c r="AO57" s="33"/>
      <c r="AP57" s="33"/>
      <c r="AQ57" s="33"/>
      <c r="AR57" s="33"/>
      <c r="AS57" s="33"/>
      <c r="AT57" s="40"/>
    </row>
    <row r="58" s="38" customFormat="true" ht="9.75" hidden="false" customHeight="true" outlineLevel="0" collapsed="false">
      <c r="A58" s="39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40"/>
      <c r="X58" s="39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40"/>
    </row>
    <row r="59" s="38" customFormat="true" ht="7.5" hidden="false" customHeight="true" outlineLevel="0" collapsed="false">
      <c r="A59" s="39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33"/>
      <c r="P59" s="33"/>
      <c r="Q59" s="33"/>
      <c r="R59" s="33"/>
      <c r="S59" s="33"/>
      <c r="T59" s="33"/>
      <c r="U59" s="33"/>
      <c r="V59" s="33"/>
      <c r="W59" s="40"/>
      <c r="X59" s="39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33"/>
      <c r="AM59" s="33"/>
      <c r="AN59" s="33"/>
      <c r="AO59" s="33"/>
      <c r="AP59" s="33"/>
      <c r="AQ59" s="33"/>
      <c r="AR59" s="33"/>
      <c r="AS59" s="33"/>
      <c r="AT59" s="40"/>
    </row>
    <row r="60" s="38" customFormat="true" ht="9.75" hidden="false" customHeight="true" outlineLevel="0" collapsed="false">
      <c r="A60" s="39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33"/>
      <c r="P60" s="33"/>
      <c r="Q60" s="33"/>
      <c r="R60" s="33"/>
      <c r="S60" s="33"/>
      <c r="T60" s="33"/>
      <c r="U60" s="33"/>
      <c r="V60" s="33"/>
      <c r="W60" s="40"/>
      <c r="X60" s="39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33"/>
      <c r="AM60" s="33"/>
      <c r="AN60" s="33"/>
      <c r="AO60" s="33"/>
      <c r="AP60" s="33"/>
      <c r="AQ60" s="33"/>
      <c r="AR60" s="33"/>
      <c r="AS60" s="33"/>
      <c r="AT60" s="40"/>
    </row>
    <row r="61" s="38" customFormat="true" ht="9.75" hidden="false" customHeight="true" outlineLevel="0" collapsed="false">
      <c r="A61" s="39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33"/>
      <c r="P61" s="33"/>
      <c r="Q61" s="33"/>
      <c r="R61" s="33"/>
      <c r="S61" s="33"/>
      <c r="T61" s="33"/>
      <c r="U61" s="33"/>
      <c r="V61" s="33"/>
      <c r="W61" s="40"/>
      <c r="X61" s="39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33"/>
      <c r="AM61" s="33"/>
      <c r="AN61" s="33"/>
      <c r="AO61" s="33"/>
      <c r="AP61" s="33"/>
      <c r="AQ61" s="33"/>
      <c r="AR61" s="33"/>
      <c r="AS61" s="33"/>
      <c r="AT61" s="40"/>
    </row>
    <row r="62" s="38" customFormat="true" ht="9.75" hidden="false" customHeight="true" outlineLevel="0" collapsed="false">
      <c r="A62" s="39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33"/>
      <c r="P62" s="33"/>
      <c r="Q62" s="33"/>
      <c r="R62" s="33"/>
      <c r="S62" s="33"/>
      <c r="T62" s="33"/>
      <c r="U62" s="33"/>
      <c r="V62" s="33"/>
      <c r="W62" s="40"/>
      <c r="X62" s="39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33"/>
      <c r="AM62" s="33"/>
      <c r="AN62" s="33"/>
      <c r="AO62" s="33"/>
      <c r="AP62" s="33"/>
      <c r="AQ62" s="33"/>
      <c r="AR62" s="33"/>
      <c r="AS62" s="33"/>
      <c r="AT62" s="40"/>
    </row>
    <row r="63" s="38" customFormat="true" ht="6" hidden="false" customHeight="true" outlineLevel="0" collapsed="false">
      <c r="A63" s="45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6"/>
      <c r="P63" s="46"/>
      <c r="Q63" s="46"/>
      <c r="R63" s="46"/>
      <c r="S63" s="46"/>
      <c r="T63" s="46"/>
      <c r="U63" s="46"/>
      <c r="V63" s="46"/>
      <c r="W63" s="47"/>
      <c r="X63" s="45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6"/>
      <c r="AM63" s="46"/>
      <c r="AN63" s="46"/>
      <c r="AO63" s="46"/>
      <c r="AP63" s="46"/>
      <c r="AQ63" s="46"/>
      <c r="AR63" s="46"/>
      <c r="AS63" s="46"/>
      <c r="AT63" s="47"/>
    </row>
  </sheetData>
  <mergeCells count="36">
    <mergeCell ref="A2:W4"/>
    <mergeCell ref="X2:AT3"/>
    <mergeCell ref="B5:N9"/>
    <mergeCell ref="Y5:AK9"/>
    <mergeCell ref="B10:N11"/>
    <mergeCell ref="Y10:AK11"/>
    <mergeCell ref="B12:N13"/>
    <mergeCell ref="Y12:AK13"/>
    <mergeCell ref="B14:N15"/>
    <mergeCell ref="Y14:AK15"/>
    <mergeCell ref="B17:N21"/>
    <mergeCell ref="Y17:AK21"/>
    <mergeCell ref="A23:W24"/>
    <mergeCell ref="X23:AT24"/>
    <mergeCell ref="B26:N30"/>
    <mergeCell ref="Y26:AK30"/>
    <mergeCell ref="B31:N32"/>
    <mergeCell ref="Y31:AK32"/>
    <mergeCell ref="B33:N34"/>
    <mergeCell ref="Y33:AK34"/>
    <mergeCell ref="B35:N36"/>
    <mergeCell ref="Y35:AK36"/>
    <mergeCell ref="B38:N42"/>
    <mergeCell ref="Y38:AK42"/>
    <mergeCell ref="A44:W45"/>
    <mergeCell ref="X44:AT45"/>
    <mergeCell ref="B47:N51"/>
    <mergeCell ref="Y47:AK51"/>
    <mergeCell ref="B52:N53"/>
    <mergeCell ref="Y52:AK53"/>
    <mergeCell ref="B54:N55"/>
    <mergeCell ref="Y54:AK55"/>
    <mergeCell ref="B56:N57"/>
    <mergeCell ref="Y56:AK57"/>
    <mergeCell ref="B59:N63"/>
    <mergeCell ref="Y59:AK63"/>
  </mergeCells>
  <printOptions headings="false" gridLines="false" gridLinesSet="true" horizontalCentered="false" verticalCentered="false"/>
  <pageMargins left="0.39375" right="0.39375" top="0.354166666666667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48"/>
  <sheetViews>
    <sheetView showFormulas="false" showGridLines="true" showRowColHeaders="true" showZeros="true" rightToLeft="false" tabSelected="false" showOutlineSymbols="true" defaultGridColor="true" view="normal" topLeftCell="A1" colorId="64" zoomScale="124" zoomScaleNormal="124" zoomScalePageLayoutView="100" workbookViewId="0">
      <selection pane="topLeft" activeCell="C21" activeCellId="0" sqref="C21"/>
    </sheetView>
  </sheetViews>
  <sheetFormatPr defaultColWidth="8.6015625" defaultRowHeight="15" customHeight="true" zeroHeight="false" outlineLevelRow="0" outlineLevelCol="0"/>
  <cols>
    <col collapsed="false" customWidth="true" hidden="false" outlineLevel="0" max="1" min="1" style="10" width="1.9"/>
    <col collapsed="false" customWidth="true" hidden="false" outlineLevel="0" max="2" min="2" style="10" width="20.2"/>
    <col collapsed="false" customWidth="true" hidden="false" outlineLevel="0" max="3" min="3" style="10" width="63.2"/>
  </cols>
  <sheetData>
    <row r="1" customFormat="false" ht="10.5" hidden="false" customHeight="true" outlineLevel="0" collapsed="false">
      <c r="A1" s="48"/>
      <c r="B1" s="49"/>
      <c r="C1" s="50" t="s">
        <v>339</v>
      </c>
    </row>
    <row r="2" customFormat="false" ht="13.5" hidden="false" customHeight="true" outlineLevel="0" collapsed="false">
      <c r="A2" s="51"/>
      <c r="B2" s="52" t="s">
        <v>340</v>
      </c>
      <c r="C2" s="53" t="str">
        <f aca="false">Name</f>
        <v>Школа АБВ (12377№7_) ТЕСТ ТЕСТ</v>
      </c>
    </row>
    <row r="3" customFormat="false" ht="8.25" hidden="false" customHeight="true" outlineLevel="0" collapsed="false">
      <c r="A3" s="51"/>
      <c r="B3" s="54"/>
      <c r="C3" s="55" t="s">
        <v>341</v>
      </c>
    </row>
    <row r="4" customFormat="false" ht="10.5" hidden="false" customHeight="true" outlineLevel="0" collapsed="false">
      <c r="A4" s="51"/>
      <c r="B4" s="54"/>
      <c r="C4" s="56" t="str">
        <f aca="false">"  ИНН "&amp;INN&amp;" КПП "&amp;KPP&amp;"                         "&amp;PersonalAcc</f>
        <v>  ИНН 9959992999 КПП 3333333333                         7777777777777777777777</v>
      </c>
    </row>
    <row r="5" customFormat="false" ht="9.75" hidden="false" customHeight="true" outlineLevel="0" collapsed="false">
      <c r="A5" s="51"/>
      <c r="B5" s="54"/>
      <c r="C5" s="57" t="s">
        <v>342</v>
      </c>
    </row>
    <row r="6" customFormat="false" ht="12" hidden="false" customHeight="true" outlineLevel="0" collapsed="false">
      <c r="A6" s="51"/>
      <c r="B6" s="54"/>
      <c r="C6" s="58" t="str">
        <f aca="false">"БИК "&amp;BIC&amp;" ("&amp;BankName&amp;")"</f>
        <v>БИК 0987098980 (ОТДЕЛЕНИЕ-НБ РЕСПУБЛИКА ТАТАРСТАН БАНКА ТЕСТ)</v>
      </c>
    </row>
    <row r="7" customFormat="false" ht="9" hidden="false" customHeight="true" outlineLevel="0" collapsed="false">
      <c r="A7" s="51"/>
      <c r="B7" s="54"/>
      <c r="C7" s="55" t="s">
        <v>343</v>
      </c>
    </row>
    <row r="8" customFormat="false" ht="65.25" hidden="false" customHeight="true" outlineLevel="0" collapsed="false">
      <c r="A8" s="51"/>
      <c r="B8" s="54"/>
      <c r="C8" s="59"/>
    </row>
    <row r="9" customFormat="false" ht="9" hidden="false" customHeight="true" outlineLevel="0" collapsed="false">
      <c r="A9" s="51"/>
      <c r="B9" s="54"/>
      <c r="C9" s="55" t="s">
        <v>344</v>
      </c>
    </row>
    <row r="10" customFormat="false" ht="12" hidden="false" customHeight="true" outlineLevel="0" collapsed="false">
      <c r="A10" s="51"/>
      <c r="B10" s="54"/>
      <c r="C10" s="60"/>
    </row>
    <row r="11" customFormat="false" ht="9" hidden="false" customHeight="true" outlineLevel="0" collapsed="false">
      <c r="A11" s="51"/>
      <c r="B11" s="61"/>
      <c r="C11" s="62" t="s">
        <v>345</v>
      </c>
    </row>
    <row r="12" customFormat="false" ht="10.5" hidden="false" customHeight="true" outlineLevel="0" collapsed="false">
      <c r="A12" s="51"/>
      <c r="B12" s="54"/>
      <c r="C12" s="63" t="s">
        <v>346</v>
      </c>
    </row>
    <row r="13" customFormat="false" ht="12" hidden="false" customHeight="true" outlineLevel="0" collapsed="false">
      <c r="A13" s="64"/>
      <c r="B13" s="65"/>
      <c r="C13" s="66" t="s">
        <v>347</v>
      </c>
    </row>
    <row r="14" customFormat="false" ht="10.5" hidden="false" customHeight="true" outlineLevel="0" collapsed="false">
      <c r="A14" s="51"/>
      <c r="B14" s="54"/>
      <c r="C14" s="50" t="s">
        <v>348</v>
      </c>
    </row>
    <row r="15" customFormat="false" ht="15" hidden="false" customHeight="false" outlineLevel="0" collapsed="false">
      <c r="A15" s="51"/>
      <c r="B15" s="52" t="s">
        <v>349</v>
      </c>
      <c r="C15" s="53" t="str">
        <f aca="false">C2</f>
        <v>Школа АБВ (12377№7_) ТЕСТ ТЕСТ</v>
      </c>
    </row>
    <row r="16" customFormat="false" ht="8.25" hidden="false" customHeight="true" outlineLevel="0" collapsed="false">
      <c r="A16" s="51"/>
      <c r="B16" s="54"/>
      <c r="C16" s="55" t="s">
        <v>341</v>
      </c>
    </row>
    <row r="17" customFormat="false" ht="12" hidden="false" customHeight="true" outlineLevel="0" collapsed="false">
      <c r="A17" s="51"/>
      <c r="B17" s="54"/>
      <c r="C17" s="56" t="str">
        <f aca="false">C4</f>
        <v>  ИНН 9959992999 КПП 3333333333                         7777777777777777777777</v>
      </c>
    </row>
    <row r="18" customFormat="false" ht="9.75" hidden="false" customHeight="true" outlineLevel="0" collapsed="false">
      <c r="A18" s="51"/>
      <c r="B18" s="54"/>
      <c r="C18" s="57" t="s">
        <v>350</v>
      </c>
    </row>
    <row r="19" customFormat="false" ht="12" hidden="false" customHeight="true" outlineLevel="0" collapsed="false">
      <c r="A19" s="51"/>
      <c r="B19" s="54"/>
      <c r="C19" s="58" t="str">
        <f aca="false">C6</f>
        <v>БИК 0987098980 (ОТДЕЛЕНИЕ-НБ РЕСПУБЛИКА ТАТАРСТАН БАНКА ТЕСТ)</v>
      </c>
    </row>
    <row r="20" customFormat="false" ht="8.25" hidden="false" customHeight="true" outlineLevel="0" collapsed="false">
      <c r="A20" s="51"/>
      <c r="B20" s="54"/>
      <c r="C20" s="55" t="s">
        <v>351</v>
      </c>
    </row>
    <row r="21" customFormat="false" ht="64.5" hidden="false" customHeight="true" outlineLevel="0" collapsed="false">
      <c r="A21" s="51"/>
      <c r="B21" s="54"/>
      <c r="C21" s="67"/>
    </row>
    <row r="22" customFormat="false" ht="9" hidden="false" customHeight="true" outlineLevel="0" collapsed="false">
      <c r="A22" s="51"/>
      <c r="B22" s="54"/>
      <c r="C22" s="68" t="s">
        <v>344</v>
      </c>
    </row>
    <row r="23" customFormat="false" ht="12.75" hidden="false" customHeight="true" outlineLevel="0" collapsed="false">
      <c r="A23" s="51"/>
      <c r="B23" s="69"/>
      <c r="C23" s="60"/>
    </row>
    <row r="24" customFormat="false" ht="8.25" hidden="false" customHeight="true" outlineLevel="0" collapsed="false">
      <c r="A24" s="51"/>
      <c r="B24" s="69"/>
      <c r="C24" s="70" t="s">
        <v>345</v>
      </c>
    </row>
    <row r="25" customFormat="false" ht="12" hidden="false" customHeight="true" outlineLevel="0" collapsed="false">
      <c r="A25" s="51"/>
      <c r="B25" s="69"/>
      <c r="C25" s="63" t="s">
        <v>346</v>
      </c>
    </row>
    <row r="26" customFormat="false" ht="12.75" hidden="false" customHeight="true" outlineLevel="0" collapsed="false">
      <c r="A26" s="64"/>
      <c r="B26" s="71"/>
      <c r="C26" s="66" t="s">
        <v>347</v>
      </c>
    </row>
    <row r="27" customFormat="false" ht="9" hidden="false" customHeight="true" outlineLevel="0" collapsed="false">
      <c r="A27" s="72" t="s">
        <v>352</v>
      </c>
      <c r="B27" s="72"/>
      <c r="C27" s="72"/>
    </row>
    <row r="35" customFormat="false" ht="9" hidden="false" customHeight="true" outlineLevel="0" collapsed="false"/>
    <row r="37" customFormat="false" ht="9" hidden="false" customHeight="true" outlineLevel="0" collapsed="false"/>
    <row r="48" customFormat="false" ht="9" hidden="false" customHeight="true" outlineLevel="0" collapsed="false"/>
    <row r="50" customFormat="false" ht="9" hidden="false" customHeight="true" outlineLevel="0" collapsed="false"/>
    <row r="61" customFormat="false" ht="9" hidden="false" customHeight="true" outlineLevel="0" collapsed="false"/>
    <row r="63" customFormat="false" ht="9" hidden="false" customHeight="true" outlineLevel="0" collapsed="false"/>
    <row r="74" customFormat="false" ht="9" hidden="false" customHeight="true" outlineLevel="0" collapsed="false"/>
    <row r="76" customFormat="false" ht="9" hidden="false" customHeight="true" outlineLevel="0" collapsed="false"/>
    <row r="87" customFormat="false" ht="9" hidden="false" customHeight="true" outlineLevel="0" collapsed="false"/>
    <row r="89" customFormat="false" ht="9" hidden="false" customHeight="true" outlineLevel="0" collapsed="false"/>
    <row r="100" customFormat="false" ht="9" hidden="false" customHeight="true" outlineLevel="0" collapsed="false"/>
    <row r="102" customFormat="false" ht="9" hidden="false" customHeight="true" outlineLevel="0" collapsed="false"/>
    <row r="113" customFormat="false" ht="9" hidden="false" customHeight="true" outlineLevel="0" collapsed="false"/>
    <row r="115" customFormat="false" ht="9" hidden="false" customHeight="true" outlineLevel="0" collapsed="false"/>
    <row r="126" customFormat="false" ht="9" hidden="false" customHeight="true" outlineLevel="0" collapsed="false"/>
    <row r="128" customFormat="false" ht="9" hidden="false" customHeight="true" outlineLevel="0" collapsed="false"/>
    <row r="139" customFormat="false" ht="9" hidden="false" customHeight="true" outlineLevel="0" collapsed="false"/>
    <row r="141" customFormat="false" ht="9" hidden="false" customHeight="true" outlineLevel="0" collapsed="false"/>
    <row r="152" customFormat="false" ht="9" hidden="false" customHeight="true" outlineLevel="0" collapsed="false"/>
    <row r="154" customFormat="false" ht="9" hidden="false" customHeight="true" outlineLevel="0" collapsed="false"/>
    <row r="165" customFormat="false" ht="9" hidden="false" customHeight="true" outlineLevel="0" collapsed="false"/>
    <row r="167" customFormat="false" ht="9" hidden="false" customHeight="true" outlineLevel="0" collapsed="false"/>
    <row r="178" customFormat="false" ht="9" hidden="false" customHeight="true" outlineLevel="0" collapsed="false"/>
    <row r="180" customFormat="false" ht="9" hidden="false" customHeight="true" outlineLevel="0" collapsed="false"/>
    <row r="191" customFormat="false" ht="9" hidden="false" customHeight="true" outlineLevel="0" collapsed="false"/>
    <row r="193" customFormat="false" ht="9" hidden="false" customHeight="true" outlineLevel="0" collapsed="false"/>
    <row r="204" customFormat="false" ht="9" hidden="false" customHeight="true" outlineLevel="0" collapsed="false"/>
    <row r="206" customFormat="false" ht="9" hidden="false" customHeight="true" outlineLevel="0" collapsed="false"/>
    <row r="217" customFormat="false" ht="9" hidden="false" customHeight="true" outlineLevel="0" collapsed="false"/>
    <row r="219" customFormat="false" ht="9" hidden="false" customHeight="true" outlineLevel="0" collapsed="false"/>
    <row r="230" customFormat="false" ht="9" hidden="false" customHeight="true" outlineLevel="0" collapsed="false"/>
    <row r="232" customFormat="false" ht="9" hidden="false" customHeight="true" outlineLevel="0" collapsed="false"/>
    <row r="243" customFormat="false" ht="9" hidden="false" customHeight="true" outlineLevel="0" collapsed="false"/>
    <row r="245" customFormat="false" ht="9" hidden="false" customHeight="true" outlineLevel="0" collapsed="false"/>
    <row r="256" customFormat="false" ht="9" hidden="false" customHeight="true" outlineLevel="0" collapsed="false"/>
    <row r="258" customFormat="false" ht="9" hidden="false" customHeight="true" outlineLevel="0" collapsed="false"/>
    <row r="269" customFormat="false" ht="9" hidden="false" customHeight="true" outlineLevel="0" collapsed="false"/>
    <row r="271" customFormat="false" ht="9" hidden="false" customHeight="true" outlineLevel="0" collapsed="false"/>
    <row r="282" customFormat="false" ht="9" hidden="false" customHeight="true" outlineLevel="0" collapsed="false"/>
    <row r="284" customFormat="false" ht="9" hidden="false" customHeight="true" outlineLevel="0" collapsed="false"/>
    <row r="295" customFormat="false" ht="9" hidden="false" customHeight="true" outlineLevel="0" collapsed="false"/>
    <row r="297" customFormat="false" ht="9" hidden="false" customHeight="true" outlineLevel="0" collapsed="false"/>
    <row r="308" customFormat="false" ht="9" hidden="false" customHeight="true" outlineLevel="0" collapsed="false"/>
    <row r="310" customFormat="false" ht="9" hidden="false" customHeight="true" outlineLevel="0" collapsed="false"/>
    <row r="321" customFormat="false" ht="9" hidden="false" customHeight="true" outlineLevel="0" collapsed="false"/>
    <row r="323" customFormat="false" ht="9" hidden="false" customHeight="true" outlineLevel="0" collapsed="false"/>
    <row r="334" customFormat="false" ht="9" hidden="false" customHeight="true" outlineLevel="0" collapsed="false"/>
    <row r="336" customFormat="false" ht="9" hidden="false" customHeight="true" outlineLevel="0" collapsed="false"/>
    <row r="347" customFormat="false" ht="9" hidden="false" customHeight="true" outlineLevel="0" collapsed="false"/>
    <row r="349" customFormat="false" ht="9" hidden="false" customHeight="true" outlineLevel="0" collapsed="false"/>
    <row r="360" customFormat="false" ht="9" hidden="false" customHeight="true" outlineLevel="0" collapsed="false"/>
    <row r="362" customFormat="false" ht="9" hidden="false" customHeight="true" outlineLevel="0" collapsed="false"/>
    <row r="373" customFormat="false" ht="9" hidden="false" customHeight="true" outlineLevel="0" collapsed="false"/>
    <row r="375" customFormat="false" ht="9" hidden="false" customHeight="true" outlineLevel="0" collapsed="false"/>
    <row r="386" customFormat="false" ht="9" hidden="false" customHeight="true" outlineLevel="0" collapsed="false"/>
    <row r="388" customFormat="false" ht="9" hidden="false" customHeight="true" outlineLevel="0" collapsed="false"/>
    <row r="399" customFormat="false" ht="9" hidden="false" customHeight="true" outlineLevel="0" collapsed="false"/>
    <row r="401" customFormat="false" ht="9" hidden="false" customHeight="true" outlineLevel="0" collapsed="false"/>
    <row r="412" customFormat="false" ht="9" hidden="false" customHeight="true" outlineLevel="0" collapsed="false"/>
    <row r="414" customFormat="false" ht="9" hidden="false" customHeight="true" outlineLevel="0" collapsed="false"/>
    <row r="425" customFormat="false" ht="9" hidden="false" customHeight="true" outlineLevel="0" collapsed="false"/>
    <row r="427" customFormat="false" ht="9" hidden="false" customHeight="true" outlineLevel="0" collapsed="false"/>
    <row r="438" customFormat="false" ht="9" hidden="false" customHeight="true" outlineLevel="0" collapsed="false"/>
    <row r="440" customFormat="false" ht="9" hidden="false" customHeight="true" outlineLevel="0" collapsed="false"/>
    <row r="451" customFormat="false" ht="9" hidden="false" customHeight="true" outlineLevel="0" collapsed="false"/>
    <row r="453" customFormat="false" ht="9" hidden="false" customHeight="true" outlineLevel="0" collapsed="false"/>
    <row r="464" customFormat="false" ht="9" hidden="false" customHeight="true" outlineLevel="0" collapsed="false"/>
    <row r="466" customFormat="false" ht="9" hidden="false" customHeight="true" outlineLevel="0" collapsed="false"/>
    <row r="477" customFormat="false" ht="9" hidden="false" customHeight="true" outlineLevel="0" collapsed="false"/>
    <row r="479" customFormat="false" ht="9" hidden="false" customHeight="true" outlineLevel="0" collapsed="false"/>
    <row r="490" customFormat="false" ht="9" hidden="false" customHeight="true" outlineLevel="0" collapsed="false"/>
    <row r="492" customFormat="false" ht="9" hidden="false" customHeight="true" outlineLevel="0" collapsed="false"/>
    <row r="503" customFormat="false" ht="9" hidden="false" customHeight="true" outlineLevel="0" collapsed="false"/>
    <row r="505" customFormat="false" ht="9" hidden="false" customHeight="true" outlineLevel="0" collapsed="false"/>
    <row r="516" customFormat="false" ht="9" hidden="false" customHeight="true" outlineLevel="0" collapsed="false"/>
    <row r="518" customFormat="false" ht="9" hidden="false" customHeight="true" outlineLevel="0" collapsed="false"/>
    <row r="529" customFormat="false" ht="9" hidden="false" customHeight="true" outlineLevel="0" collapsed="false"/>
    <row r="531" customFormat="false" ht="9" hidden="false" customHeight="true" outlineLevel="0" collapsed="false"/>
    <row r="542" customFormat="false" ht="9" hidden="false" customHeight="true" outlineLevel="0" collapsed="false"/>
    <row r="544" customFormat="false" ht="9" hidden="false" customHeight="true" outlineLevel="0" collapsed="false"/>
    <row r="555" customFormat="false" ht="9" hidden="false" customHeight="true" outlineLevel="0" collapsed="false"/>
    <row r="557" customFormat="false" ht="9" hidden="false" customHeight="true" outlineLevel="0" collapsed="false"/>
    <row r="568" customFormat="false" ht="9" hidden="false" customHeight="true" outlineLevel="0" collapsed="false"/>
    <row r="570" customFormat="false" ht="9" hidden="false" customHeight="true" outlineLevel="0" collapsed="false"/>
    <row r="581" customFormat="false" ht="9" hidden="false" customHeight="true" outlineLevel="0" collapsed="false"/>
    <row r="583" customFormat="false" ht="9" hidden="false" customHeight="true" outlineLevel="0" collapsed="false"/>
    <row r="594" customFormat="false" ht="9" hidden="false" customHeight="true" outlineLevel="0" collapsed="false"/>
    <row r="596" customFormat="false" ht="9" hidden="false" customHeight="true" outlineLevel="0" collapsed="false"/>
    <row r="607" customFormat="false" ht="9" hidden="false" customHeight="true" outlineLevel="0" collapsed="false"/>
    <row r="609" customFormat="false" ht="9" hidden="false" customHeight="true" outlineLevel="0" collapsed="false"/>
    <row r="620" customFormat="false" ht="9" hidden="false" customHeight="true" outlineLevel="0" collapsed="false"/>
    <row r="622" customFormat="false" ht="9" hidden="false" customHeight="true" outlineLevel="0" collapsed="false"/>
    <row r="633" customFormat="false" ht="9" hidden="false" customHeight="true" outlineLevel="0" collapsed="false"/>
    <row r="635" customFormat="false" ht="9" hidden="false" customHeight="true" outlineLevel="0" collapsed="false"/>
    <row r="646" customFormat="false" ht="9" hidden="false" customHeight="true" outlineLevel="0" collapsed="false"/>
    <row r="648" customFormat="false" ht="9" hidden="false" customHeight="true" outlineLevel="0" collapsed="false"/>
  </sheetData>
  <mergeCells count="1">
    <mergeCell ref="A27:C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K29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GX25" activeCellId="0" sqref="GX25"/>
    </sheetView>
  </sheetViews>
  <sheetFormatPr defaultColWidth="0.703125" defaultRowHeight="9.75" customHeight="true" zeroHeight="false" outlineLevelRow="0" outlineLevelCol="0"/>
  <cols>
    <col collapsed="false" customWidth="false" hidden="false" outlineLevel="0" max="121" min="1" style="73" width="0.7"/>
    <col collapsed="false" customWidth="true" hidden="false" outlineLevel="0" max="122" min="122" style="73" width="0.6"/>
    <col collapsed="false" customWidth="false" hidden="false" outlineLevel="0" max="16384" min="123" style="73" width="0.7"/>
  </cols>
  <sheetData>
    <row r="1" customFormat="false" ht="15" hidden="false" customHeight="true" outlineLevel="0" collapsed="false">
      <c r="A1" s="74" t="s">
        <v>353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K1" s="75"/>
      <c r="EL1" s="75"/>
      <c r="EM1" s="75"/>
      <c r="EN1" s="75"/>
      <c r="EO1" s="75"/>
      <c r="EP1" s="75"/>
      <c r="EQ1" s="75"/>
      <c r="ER1" s="75"/>
      <c r="ES1" s="75"/>
      <c r="ET1" s="75"/>
      <c r="EU1" s="75"/>
      <c r="EV1" s="75"/>
      <c r="EW1" s="75"/>
      <c r="EX1" s="75"/>
      <c r="EY1" s="75"/>
      <c r="EZ1" s="75"/>
      <c r="FA1" s="75"/>
      <c r="FB1" s="75"/>
      <c r="FC1" s="75"/>
      <c r="FD1" s="75"/>
      <c r="FE1" s="75"/>
      <c r="FF1" s="75"/>
      <c r="FG1" s="75"/>
      <c r="FH1" s="75"/>
      <c r="FI1" s="75"/>
      <c r="FJ1" s="75"/>
      <c r="FK1" s="75"/>
    </row>
    <row r="2" customFormat="false" ht="12" hidden="false" customHeight="true" outlineLevel="0" collapsed="false">
      <c r="A2" s="74" t="s">
        <v>354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FC2" s="75"/>
      <c r="FD2" s="75"/>
      <c r="FE2" s="75"/>
      <c r="FF2" s="75"/>
      <c r="FG2" s="75"/>
      <c r="FH2" s="75"/>
      <c r="FI2" s="75"/>
      <c r="FJ2" s="75"/>
      <c r="FK2" s="75"/>
    </row>
    <row r="3" customFormat="false" ht="12" hidden="false" customHeight="true" outlineLevel="0" collapsed="false"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FC3" s="75"/>
      <c r="FD3" s="75"/>
      <c r="FE3" s="75"/>
      <c r="FF3" s="75"/>
      <c r="FG3" s="75"/>
      <c r="FH3" s="75"/>
      <c r="FI3" s="75"/>
      <c r="FJ3" s="75"/>
      <c r="FK3" s="75"/>
    </row>
    <row r="4" customFormat="false" ht="12" hidden="false" customHeight="true" outlineLevel="0" collapsed="false">
      <c r="A4" s="76" t="s">
        <v>355</v>
      </c>
      <c r="B4" s="76"/>
      <c r="C4" s="76"/>
      <c r="D4" s="76"/>
      <c r="E4" s="76"/>
      <c r="F4" s="76"/>
      <c r="G4" s="76"/>
      <c r="H4" s="76"/>
      <c r="I4" s="77" t="s">
        <v>356</v>
      </c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4"/>
      <c r="BQ4" s="74"/>
      <c r="BR4" s="74"/>
      <c r="BZ4" s="76" t="s">
        <v>357</v>
      </c>
      <c r="CA4" s="76"/>
      <c r="CB4" s="76"/>
      <c r="CC4" s="76"/>
      <c r="CD4" s="76"/>
      <c r="CE4" s="76"/>
      <c r="CF4" s="76"/>
      <c r="CG4" s="76"/>
      <c r="CH4" s="78" t="s">
        <v>358</v>
      </c>
      <c r="FC4" s="75"/>
      <c r="FD4" s="75"/>
      <c r="FE4" s="75"/>
      <c r="FF4" s="75"/>
      <c r="FG4" s="75"/>
      <c r="FH4" s="75"/>
      <c r="FI4" s="75"/>
      <c r="FJ4" s="75"/>
      <c r="FK4" s="75"/>
    </row>
    <row r="5" customFormat="false" ht="13.5" hidden="false" customHeight="true" outlineLevel="0" collapsed="false">
      <c r="A5" s="79"/>
      <c r="B5" s="73" t="s">
        <v>359</v>
      </c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73" t="s">
        <v>360</v>
      </c>
      <c r="BO5" s="81"/>
      <c r="BP5" s="74"/>
      <c r="BQ5" s="74"/>
      <c r="BR5" s="74"/>
      <c r="BZ5" s="82" t="s">
        <v>361</v>
      </c>
      <c r="CA5" s="82"/>
      <c r="CB5" s="82"/>
      <c r="CC5" s="82"/>
      <c r="CD5" s="82"/>
      <c r="CE5" s="82"/>
      <c r="CF5" s="82"/>
      <c r="CG5" s="82"/>
      <c r="CH5" s="82"/>
      <c r="CI5" s="82"/>
      <c r="CJ5" s="82" t="s">
        <v>362</v>
      </c>
      <c r="CK5" s="82"/>
      <c r="CL5" s="82"/>
      <c r="CM5" s="82"/>
      <c r="CN5" s="82"/>
      <c r="CO5" s="82"/>
      <c r="CP5" s="82"/>
      <c r="CQ5" s="82" t="s">
        <v>363</v>
      </c>
      <c r="CR5" s="82"/>
      <c r="CS5" s="82"/>
      <c r="CT5" s="82"/>
      <c r="CU5" s="82"/>
      <c r="CV5" s="82"/>
      <c r="CW5" s="82"/>
      <c r="CX5" s="82"/>
      <c r="CY5" s="82"/>
      <c r="CZ5" s="82" t="s">
        <v>364</v>
      </c>
      <c r="DA5" s="82"/>
      <c r="DB5" s="82"/>
      <c r="DC5" s="82"/>
      <c r="DD5" s="82"/>
      <c r="DE5" s="82"/>
      <c r="DF5" s="82"/>
      <c r="DG5" s="82"/>
      <c r="DH5" s="82"/>
      <c r="DI5" s="82" t="s">
        <v>365</v>
      </c>
      <c r="DJ5" s="82"/>
      <c r="DK5" s="82"/>
      <c r="DL5" s="82"/>
      <c r="DM5" s="82"/>
      <c r="DN5" s="82"/>
      <c r="DO5" s="82"/>
      <c r="DP5" s="82"/>
      <c r="DQ5" s="82" t="s">
        <v>366</v>
      </c>
      <c r="DR5" s="82"/>
      <c r="DS5" s="82"/>
      <c r="DT5" s="82"/>
      <c r="DU5" s="82"/>
      <c r="DV5" s="82"/>
      <c r="DW5" s="82"/>
      <c r="DX5" s="82"/>
      <c r="DY5" s="82" t="s">
        <v>367</v>
      </c>
      <c r="DZ5" s="82"/>
      <c r="EA5" s="82"/>
      <c r="EB5" s="82"/>
      <c r="EC5" s="82"/>
      <c r="ED5" s="82"/>
      <c r="EE5" s="82"/>
      <c r="EF5" s="82"/>
      <c r="EG5" s="82"/>
      <c r="EH5" s="82"/>
      <c r="FC5" s="75"/>
      <c r="FD5" s="75"/>
      <c r="FE5" s="75"/>
      <c r="FF5" s="75"/>
      <c r="FG5" s="75"/>
      <c r="FH5" s="75"/>
      <c r="FI5" s="75"/>
      <c r="FJ5" s="75"/>
      <c r="FK5" s="75"/>
    </row>
    <row r="6" customFormat="false" ht="11.25" hidden="false" customHeight="true" outlineLevel="0" collapsed="false">
      <c r="A6" s="79"/>
      <c r="BO6" s="81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82"/>
      <c r="DM6" s="82"/>
      <c r="DN6" s="82"/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FC6" s="75"/>
      <c r="FD6" s="75"/>
      <c r="FE6" s="75"/>
      <c r="FF6" s="75"/>
      <c r="FG6" s="75"/>
      <c r="FH6" s="75"/>
      <c r="FI6" s="75"/>
      <c r="FJ6" s="75"/>
      <c r="FK6" s="75"/>
    </row>
    <row r="7" customFormat="false" ht="15" hidden="false" customHeight="true" outlineLevel="0" collapsed="false">
      <c r="A7" s="73" t="s">
        <v>368</v>
      </c>
      <c r="P7" s="83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O7" s="81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2"/>
      <c r="EC7" s="82"/>
      <c r="ED7" s="82"/>
      <c r="EE7" s="82"/>
      <c r="EF7" s="82"/>
      <c r="EG7" s="82"/>
      <c r="EH7" s="82"/>
    </row>
    <row r="8" customFormat="false" ht="11.25" hidden="false" customHeight="true" outlineLevel="0" collapsed="false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O8" s="81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/>
      <c r="CU8" s="82"/>
      <c r="CV8" s="82"/>
      <c r="CW8" s="82"/>
      <c r="CX8" s="82"/>
      <c r="CY8" s="82"/>
      <c r="CZ8" s="82"/>
      <c r="DA8" s="82"/>
      <c r="DB8" s="82"/>
      <c r="DC8" s="82"/>
      <c r="DD8" s="82"/>
      <c r="DE8" s="82"/>
      <c r="DF8" s="82"/>
      <c r="DG8" s="82"/>
      <c r="DH8" s="82"/>
      <c r="DI8" s="82"/>
      <c r="DJ8" s="82"/>
      <c r="DK8" s="82"/>
      <c r="DL8" s="82"/>
      <c r="DM8" s="82"/>
      <c r="DN8" s="82"/>
      <c r="DO8" s="82"/>
      <c r="DP8" s="82"/>
      <c r="DQ8" s="82"/>
      <c r="DR8" s="82"/>
      <c r="DS8" s="82"/>
      <c r="DT8" s="82"/>
      <c r="DU8" s="82"/>
      <c r="DV8" s="82"/>
      <c r="DW8" s="82"/>
      <c r="DX8" s="82"/>
      <c r="DY8" s="82"/>
      <c r="DZ8" s="82"/>
      <c r="EA8" s="82"/>
      <c r="EB8" s="82"/>
      <c r="EC8" s="82"/>
      <c r="ED8" s="82"/>
      <c r="EE8" s="82"/>
      <c r="EF8" s="82"/>
      <c r="EG8" s="82"/>
      <c r="EH8" s="82"/>
    </row>
    <row r="9" customFormat="false" ht="15" hidden="false" customHeight="true" outlineLevel="0" collapsed="false">
      <c r="A9" s="85" t="s">
        <v>369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6"/>
      <c r="S9" s="86"/>
      <c r="T9" s="86"/>
      <c r="U9" s="86"/>
      <c r="V9" s="86"/>
      <c r="W9" s="86"/>
      <c r="X9" s="86"/>
      <c r="Y9" s="86"/>
      <c r="Z9" s="73" t="s">
        <v>370</v>
      </c>
      <c r="AG9" s="85" t="s">
        <v>371</v>
      </c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6"/>
      <c r="BC9" s="86"/>
      <c r="BD9" s="86"/>
      <c r="BE9" s="86"/>
      <c r="BF9" s="73" t="s">
        <v>372</v>
      </c>
      <c r="BO9" s="81"/>
      <c r="BZ9" s="87" t="n">
        <v>1</v>
      </c>
      <c r="CA9" s="87"/>
      <c r="CB9" s="87"/>
      <c r="CC9" s="87"/>
      <c r="CD9" s="87"/>
      <c r="CE9" s="87"/>
      <c r="CF9" s="87"/>
      <c r="CG9" s="87"/>
      <c r="CH9" s="87"/>
      <c r="CI9" s="87"/>
      <c r="CJ9" s="87" t="n">
        <v>2</v>
      </c>
      <c r="CK9" s="87"/>
      <c r="CL9" s="87"/>
      <c r="CM9" s="87"/>
      <c r="CN9" s="87"/>
      <c r="CO9" s="87"/>
      <c r="CP9" s="87"/>
      <c r="CQ9" s="87" t="n">
        <v>3</v>
      </c>
      <c r="CR9" s="87"/>
      <c r="CS9" s="87"/>
      <c r="CT9" s="87"/>
      <c r="CU9" s="87"/>
      <c r="CV9" s="87"/>
      <c r="CW9" s="87"/>
      <c r="CX9" s="87"/>
      <c r="CY9" s="87"/>
      <c r="CZ9" s="87" t="n">
        <v>4</v>
      </c>
      <c r="DA9" s="87"/>
      <c r="DB9" s="87"/>
      <c r="DC9" s="87"/>
      <c r="DD9" s="87"/>
      <c r="DE9" s="87"/>
      <c r="DF9" s="87"/>
      <c r="DG9" s="87"/>
      <c r="DH9" s="87"/>
      <c r="DI9" s="87" t="n">
        <v>5</v>
      </c>
      <c r="DJ9" s="87"/>
      <c r="DK9" s="87"/>
      <c r="DL9" s="87"/>
      <c r="DM9" s="87"/>
      <c r="DN9" s="87"/>
      <c r="DO9" s="87"/>
      <c r="DP9" s="87"/>
      <c r="DQ9" s="87" t="n">
        <v>6</v>
      </c>
      <c r="DR9" s="87"/>
      <c r="DS9" s="87"/>
      <c r="DT9" s="87"/>
      <c r="DU9" s="87"/>
      <c r="DV9" s="87"/>
      <c r="DW9" s="87"/>
      <c r="DX9" s="87"/>
      <c r="DY9" s="87" t="n">
        <v>7</v>
      </c>
      <c r="DZ9" s="87"/>
      <c r="EA9" s="87"/>
      <c r="EB9" s="87"/>
      <c r="EC9" s="87"/>
      <c r="ED9" s="87"/>
      <c r="EE9" s="87"/>
      <c r="EF9" s="87"/>
      <c r="EG9" s="87"/>
      <c r="EH9" s="87"/>
    </row>
    <row r="10" customFormat="false" ht="48.75" hidden="false" customHeight="true" outlineLevel="0" collapsed="false">
      <c r="A10" s="88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89"/>
      <c r="BZ10" s="90" t="s">
        <v>373</v>
      </c>
      <c r="CA10" s="90"/>
      <c r="CB10" s="90"/>
      <c r="CC10" s="90"/>
      <c r="CD10" s="90"/>
      <c r="CE10" s="90"/>
      <c r="CF10" s="90"/>
      <c r="CG10" s="90"/>
      <c r="CH10" s="90"/>
      <c r="CI10" s="90"/>
      <c r="CJ10" s="91" t="s">
        <v>374</v>
      </c>
      <c r="CK10" s="91"/>
      <c r="CL10" s="91"/>
      <c r="CM10" s="91"/>
      <c r="CN10" s="91"/>
      <c r="CO10" s="91"/>
      <c r="CP10" s="91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92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92"/>
      <c r="EE10" s="92"/>
      <c r="EF10" s="92"/>
      <c r="EG10" s="92"/>
      <c r="EH10" s="92"/>
    </row>
    <row r="11" customFormat="false" ht="18.75" hidden="false" customHeight="true" outlineLevel="0" collapsed="false"/>
    <row r="12" customFormat="false" ht="21.75" hidden="false" customHeight="true" outlineLevel="0" collapsed="false">
      <c r="C12" s="93" t="s">
        <v>375</v>
      </c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O12" s="73" t="s">
        <v>376</v>
      </c>
      <c r="AW12" s="78" t="s">
        <v>377</v>
      </c>
      <c r="DO12" s="94"/>
      <c r="DP12" s="94"/>
      <c r="DQ12" s="94"/>
      <c r="DR12" s="94"/>
      <c r="DS12" s="94"/>
      <c r="DT12" s="94"/>
      <c r="DU12" s="94"/>
      <c r="DV12" s="94"/>
      <c r="DW12" s="94"/>
      <c r="DX12" s="94"/>
      <c r="DY12" s="94"/>
      <c r="DZ12" s="94"/>
      <c r="EA12" s="94"/>
      <c r="EB12" s="94"/>
      <c r="EC12" s="94"/>
      <c r="ED12" s="94"/>
      <c r="EE12" s="94"/>
      <c r="EF12" s="94"/>
      <c r="EG12" s="94"/>
      <c r="EH12" s="94"/>
    </row>
    <row r="13" customFormat="false" ht="12" hidden="false" customHeight="true" outlineLevel="0" collapsed="false"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O13" s="95" t="s">
        <v>378</v>
      </c>
      <c r="AP13" s="95"/>
      <c r="AQ13" s="95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5"/>
      <c r="BF13" s="95" t="s">
        <v>379</v>
      </c>
      <c r="BG13" s="95"/>
      <c r="BH13" s="95"/>
      <c r="BI13" s="95"/>
      <c r="BJ13" s="95"/>
      <c r="BK13" s="95"/>
      <c r="BL13" s="95"/>
      <c r="BM13" s="95"/>
      <c r="BN13" s="95"/>
      <c r="BO13" s="95"/>
      <c r="BP13" s="95"/>
      <c r="BQ13" s="95"/>
      <c r="BR13" s="95"/>
      <c r="BS13" s="95"/>
      <c r="BT13" s="95"/>
      <c r="BU13" s="95"/>
      <c r="BV13" s="95"/>
      <c r="BW13" s="95"/>
      <c r="BX13" s="95"/>
      <c r="BY13" s="95"/>
      <c r="BZ13" s="95"/>
      <c r="CA13" s="95"/>
      <c r="CB13" s="95"/>
      <c r="CC13" s="95"/>
      <c r="CD13" s="95"/>
      <c r="CE13" s="95"/>
      <c r="CF13" s="95" t="s">
        <v>380</v>
      </c>
      <c r="CG13" s="95"/>
      <c r="CH13" s="95"/>
      <c r="CI13" s="95"/>
      <c r="CJ13" s="95"/>
      <c r="CK13" s="95"/>
      <c r="CL13" s="95"/>
      <c r="CM13" s="95"/>
      <c r="CN13" s="95"/>
      <c r="CO13" s="95"/>
      <c r="CP13" s="95"/>
      <c r="CQ13" s="95"/>
      <c r="CR13" s="95"/>
      <c r="CS13" s="95"/>
      <c r="CT13" s="95"/>
      <c r="CU13" s="95"/>
      <c r="CV13" s="95"/>
      <c r="CW13" s="95"/>
      <c r="CX13" s="95"/>
      <c r="CY13" s="95"/>
      <c r="CZ13" s="95" t="s">
        <v>230</v>
      </c>
      <c r="DA13" s="95"/>
      <c r="DB13" s="95"/>
      <c r="DC13" s="95"/>
      <c r="DD13" s="95"/>
      <c r="DE13" s="95"/>
      <c r="DF13" s="95"/>
      <c r="DG13" s="95"/>
      <c r="DH13" s="95"/>
      <c r="DI13" s="95"/>
      <c r="DJ13" s="95"/>
      <c r="DK13" s="95"/>
      <c r="DL13" s="95"/>
      <c r="DM13" s="95"/>
      <c r="DN13" s="95"/>
      <c r="DO13" s="95"/>
      <c r="DP13" s="95"/>
      <c r="DQ13" s="95"/>
      <c r="DR13" s="95" t="s">
        <v>381</v>
      </c>
      <c r="DS13" s="95"/>
      <c r="DT13" s="95"/>
      <c r="DU13" s="95"/>
      <c r="DV13" s="95"/>
      <c r="DW13" s="95"/>
      <c r="DX13" s="95"/>
      <c r="DY13" s="95"/>
      <c r="DZ13" s="95"/>
      <c r="EA13" s="95"/>
      <c r="EB13" s="95"/>
      <c r="EC13" s="95"/>
      <c r="ED13" s="95"/>
      <c r="EE13" s="95"/>
      <c r="EF13" s="95"/>
      <c r="EG13" s="95"/>
      <c r="EH13" s="95"/>
    </row>
    <row r="14" customFormat="false" ht="12" hidden="false" customHeight="true" outlineLevel="0" collapsed="false">
      <c r="A14" s="79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O14" s="95"/>
      <c r="AP14" s="95"/>
      <c r="AQ14" s="95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5"/>
      <c r="BQ14" s="95"/>
      <c r="BR14" s="95"/>
      <c r="BS14" s="95"/>
      <c r="BT14" s="95"/>
      <c r="BU14" s="95"/>
      <c r="BV14" s="95"/>
      <c r="BW14" s="95"/>
      <c r="BX14" s="95"/>
      <c r="BY14" s="95"/>
      <c r="BZ14" s="95"/>
      <c r="CA14" s="95"/>
      <c r="CB14" s="95"/>
      <c r="CC14" s="95"/>
      <c r="CD14" s="95"/>
      <c r="CE14" s="95"/>
      <c r="CF14" s="95"/>
      <c r="CG14" s="95"/>
      <c r="CH14" s="95"/>
      <c r="CI14" s="95"/>
      <c r="CJ14" s="95"/>
      <c r="CK14" s="95"/>
      <c r="CL14" s="95"/>
      <c r="CM14" s="95"/>
      <c r="CN14" s="95"/>
      <c r="CO14" s="95"/>
      <c r="CP14" s="95"/>
      <c r="CQ14" s="95"/>
      <c r="CR14" s="95"/>
      <c r="CS14" s="95"/>
      <c r="CT14" s="95"/>
      <c r="CU14" s="95"/>
      <c r="CV14" s="95"/>
      <c r="CW14" s="95"/>
      <c r="CX14" s="95"/>
      <c r="CY14" s="95"/>
      <c r="CZ14" s="95"/>
      <c r="DA14" s="95"/>
      <c r="DB14" s="95"/>
      <c r="DC14" s="95"/>
      <c r="DD14" s="95"/>
      <c r="DE14" s="95"/>
      <c r="DF14" s="95"/>
      <c r="DG14" s="95"/>
      <c r="DH14" s="95"/>
      <c r="DI14" s="95"/>
      <c r="DJ14" s="95"/>
      <c r="DK14" s="95"/>
      <c r="DL14" s="95"/>
      <c r="DM14" s="95"/>
      <c r="DN14" s="95"/>
      <c r="DO14" s="95"/>
      <c r="DP14" s="95"/>
      <c r="DQ14" s="95"/>
      <c r="DR14" s="95"/>
      <c r="DS14" s="95"/>
      <c r="DT14" s="95"/>
      <c r="DU14" s="95"/>
      <c r="DV14" s="95"/>
      <c r="DW14" s="95"/>
      <c r="DX14" s="95"/>
      <c r="DY14" s="95"/>
      <c r="DZ14" s="95"/>
      <c r="EA14" s="95"/>
      <c r="EB14" s="95"/>
      <c r="EC14" s="95"/>
      <c r="ED14" s="95"/>
      <c r="EE14" s="95"/>
      <c r="EF14" s="95"/>
      <c r="EG14" s="95"/>
      <c r="EH14" s="95"/>
    </row>
    <row r="15" customFormat="false" ht="18" hidden="false" customHeight="true" outlineLevel="0" collapsed="false">
      <c r="A15" s="79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5"/>
      <c r="BQ15" s="95"/>
      <c r="BR15" s="95"/>
      <c r="BS15" s="95"/>
      <c r="BT15" s="95"/>
      <c r="BU15" s="95"/>
      <c r="BV15" s="95"/>
      <c r="BW15" s="95"/>
      <c r="BX15" s="95"/>
      <c r="BY15" s="95"/>
      <c r="BZ15" s="95"/>
      <c r="CA15" s="95"/>
      <c r="CB15" s="95"/>
      <c r="CC15" s="95"/>
      <c r="CD15" s="95"/>
      <c r="CE15" s="95"/>
      <c r="CF15" s="95"/>
      <c r="CG15" s="95"/>
      <c r="CH15" s="95"/>
      <c r="CI15" s="95"/>
      <c r="CJ15" s="95"/>
      <c r="CK15" s="95"/>
      <c r="CL15" s="95"/>
      <c r="CM15" s="95"/>
      <c r="CN15" s="95"/>
      <c r="CO15" s="95"/>
      <c r="CP15" s="95"/>
      <c r="CQ15" s="95"/>
      <c r="CR15" s="95"/>
      <c r="CS15" s="95"/>
      <c r="CT15" s="95"/>
      <c r="CU15" s="95"/>
      <c r="CV15" s="95"/>
      <c r="CW15" s="95"/>
      <c r="CX15" s="95"/>
      <c r="CY15" s="95"/>
      <c r="CZ15" s="95"/>
      <c r="DA15" s="95"/>
      <c r="DB15" s="95"/>
      <c r="DC15" s="95"/>
      <c r="DD15" s="95"/>
      <c r="DE15" s="95"/>
      <c r="DF15" s="95"/>
      <c r="DG15" s="95"/>
      <c r="DH15" s="95"/>
      <c r="DI15" s="95"/>
      <c r="DJ15" s="95"/>
      <c r="DK15" s="95"/>
      <c r="DL15" s="95"/>
      <c r="DM15" s="95"/>
      <c r="DN15" s="95"/>
      <c r="DO15" s="95"/>
      <c r="DP15" s="95"/>
      <c r="DQ15" s="95"/>
      <c r="DR15" s="95"/>
      <c r="DS15" s="95"/>
      <c r="DT15" s="95"/>
      <c r="DU15" s="95"/>
      <c r="DV15" s="95"/>
      <c r="DW15" s="95"/>
      <c r="DX15" s="95"/>
      <c r="DY15" s="95"/>
      <c r="DZ15" s="95"/>
      <c r="EA15" s="95"/>
      <c r="EB15" s="95"/>
      <c r="EC15" s="95"/>
      <c r="ED15" s="95"/>
      <c r="EE15" s="95"/>
      <c r="EF15" s="95"/>
      <c r="EG15" s="95"/>
      <c r="EH15" s="95"/>
    </row>
    <row r="16" customFormat="false" ht="15" hidden="false" customHeight="true" outlineLevel="0" collapsed="false"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7"/>
      <c r="BG16" s="97"/>
      <c r="BH16" s="97"/>
      <c r="BI16" s="97"/>
      <c r="BJ16" s="97"/>
      <c r="BK16" s="97"/>
      <c r="BL16" s="97"/>
      <c r="BM16" s="97"/>
      <c r="BN16" s="97"/>
      <c r="BO16" s="97"/>
      <c r="BP16" s="97"/>
      <c r="BQ16" s="97"/>
      <c r="BR16" s="97"/>
      <c r="BS16" s="97"/>
      <c r="BT16" s="97"/>
      <c r="BU16" s="97"/>
      <c r="BV16" s="97"/>
      <c r="BW16" s="97"/>
      <c r="BX16" s="97"/>
      <c r="BY16" s="97"/>
      <c r="BZ16" s="97"/>
      <c r="CA16" s="97"/>
      <c r="CB16" s="97"/>
      <c r="CC16" s="97"/>
      <c r="CD16" s="97"/>
      <c r="CE16" s="97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6"/>
      <c r="DA16" s="96"/>
      <c r="DB16" s="96"/>
      <c r="DC16" s="96"/>
      <c r="DD16" s="96"/>
      <c r="DE16" s="96"/>
      <c r="DF16" s="96"/>
      <c r="DG16" s="96"/>
      <c r="DH16" s="96"/>
      <c r="DI16" s="96"/>
      <c r="DJ16" s="96"/>
      <c r="DK16" s="96"/>
      <c r="DL16" s="96"/>
      <c r="DM16" s="96"/>
      <c r="DN16" s="96"/>
      <c r="DO16" s="96"/>
      <c r="DP16" s="96"/>
      <c r="DQ16" s="96"/>
      <c r="DR16" s="99"/>
      <c r="DS16" s="99"/>
      <c r="DT16" s="99"/>
      <c r="DU16" s="99"/>
      <c r="DV16" s="99"/>
      <c r="DW16" s="99"/>
      <c r="DX16" s="99"/>
      <c r="DY16" s="99"/>
      <c r="DZ16" s="99"/>
      <c r="EA16" s="99"/>
      <c r="EB16" s="99"/>
      <c r="EC16" s="99"/>
      <c r="ED16" s="99"/>
      <c r="EE16" s="99"/>
      <c r="EF16" s="99"/>
      <c r="EG16" s="99"/>
      <c r="EH16" s="99"/>
    </row>
    <row r="17" customFormat="false" ht="10.5" hidden="false" customHeight="true" outlineLevel="0" collapsed="false"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O17" s="100"/>
      <c r="AP17" s="101" t="s">
        <v>382</v>
      </c>
      <c r="AQ17" s="101"/>
      <c r="AR17" s="101"/>
      <c r="AS17" s="101"/>
      <c r="AT17" s="101"/>
      <c r="AU17" s="101"/>
      <c r="AV17" s="101"/>
      <c r="AW17" s="101"/>
      <c r="AX17" s="101"/>
      <c r="AY17" s="101"/>
      <c r="AZ17" s="101" t="s">
        <v>383</v>
      </c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2"/>
      <c r="CF17" s="102"/>
      <c r="CG17" s="102"/>
      <c r="CH17" s="102"/>
      <c r="CI17" s="102"/>
      <c r="CJ17" s="102"/>
      <c r="CK17" s="102"/>
      <c r="CL17" s="102"/>
      <c r="CM17" s="102"/>
      <c r="CN17" s="102"/>
      <c r="CO17" s="102"/>
      <c r="CP17" s="102"/>
      <c r="CQ17" s="102"/>
      <c r="CR17" s="102"/>
      <c r="CS17" s="102"/>
      <c r="CT17" s="102"/>
      <c r="CU17" s="102"/>
      <c r="CV17" s="102"/>
      <c r="CW17" s="102"/>
      <c r="CX17" s="102"/>
      <c r="CY17" s="102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103"/>
      <c r="EG17" s="103"/>
      <c r="EH17" s="104"/>
    </row>
    <row r="18" customFormat="false" ht="10.5" hidden="false" customHeight="true" outlineLevel="0" collapsed="false"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O18" s="79"/>
      <c r="CE18" s="105"/>
      <c r="CF18" s="105"/>
      <c r="CG18" s="105"/>
      <c r="CH18" s="105"/>
      <c r="CI18" s="105"/>
      <c r="CJ18" s="105"/>
      <c r="CK18" s="105"/>
      <c r="CL18" s="105"/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EF18" s="94"/>
      <c r="EG18" s="94"/>
      <c r="EH18" s="106"/>
    </row>
    <row r="19" customFormat="false" ht="16.5" hidden="false" customHeight="true" outlineLevel="0" collapsed="false"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O19" s="79"/>
      <c r="AZ19" s="73" t="s">
        <v>384</v>
      </c>
      <c r="CC19" s="107"/>
      <c r="CD19" s="107"/>
      <c r="CE19" s="107"/>
      <c r="CF19" s="107"/>
      <c r="CG19" s="107"/>
      <c r="CH19" s="107"/>
      <c r="CI19" s="107"/>
      <c r="CJ19" s="107"/>
      <c r="CK19" s="107"/>
      <c r="CL19" s="107"/>
      <c r="CM19" s="107"/>
      <c r="CN19" s="107"/>
      <c r="CO19" s="107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07"/>
      <c r="DA19" s="107"/>
      <c r="DB19" s="107"/>
      <c r="DC19" s="107"/>
      <c r="DD19" s="107"/>
      <c r="DE19" s="107"/>
      <c r="DF19" s="107"/>
      <c r="DG19" s="107"/>
      <c r="DH19" s="107"/>
      <c r="DI19" s="107"/>
      <c r="DJ19" s="107"/>
      <c r="DK19" s="107"/>
      <c r="DL19" s="107"/>
      <c r="DM19" s="107"/>
      <c r="EF19" s="94"/>
      <c r="EG19" s="94"/>
      <c r="EH19" s="106"/>
    </row>
    <row r="20" customFormat="false" ht="10.5" hidden="false" customHeight="true" outlineLevel="0" collapsed="false"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O20" s="79"/>
      <c r="AZ20" s="108" t="s">
        <v>385</v>
      </c>
      <c r="BA20" s="108"/>
      <c r="BB20" s="108"/>
      <c r="BC20" s="108"/>
      <c r="BD20" s="108"/>
      <c r="BE20" s="108"/>
      <c r="BF20" s="108"/>
      <c r="BG20" s="108"/>
      <c r="BH20" s="108"/>
      <c r="BI20" s="108"/>
      <c r="BJ20" s="108"/>
      <c r="BK20" s="108"/>
      <c r="BL20" s="108"/>
      <c r="BM20" s="108"/>
      <c r="BN20" s="108"/>
      <c r="BO20" s="108"/>
      <c r="BP20" s="108"/>
      <c r="BQ20" s="108"/>
      <c r="BR20" s="108"/>
      <c r="BS20" s="108"/>
      <c r="BT20" s="108"/>
      <c r="BU20" s="108"/>
      <c r="BV20" s="108"/>
      <c r="BW20" s="108"/>
      <c r="BX20" s="108"/>
      <c r="BY20" s="108"/>
      <c r="BZ20" s="108"/>
      <c r="CA20" s="108"/>
      <c r="CB20" s="108"/>
      <c r="CC20" s="108"/>
      <c r="CD20" s="108"/>
      <c r="CE20" s="108"/>
      <c r="CF20" s="108"/>
      <c r="CG20" s="108"/>
      <c r="CH20" s="108"/>
      <c r="CI20" s="108"/>
      <c r="CJ20" s="108"/>
      <c r="CK20" s="108"/>
      <c r="CL20" s="108"/>
      <c r="CM20" s="108"/>
      <c r="CN20" s="108"/>
      <c r="CO20" s="108"/>
      <c r="CP20" s="108"/>
      <c r="CQ20" s="108"/>
      <c r="CR20" s="108"/>
      <c r="CS20" s="108"/>
      <c r="CT20" s="108"/>
      <c r="CU20" s="108"/>
      <c r="CV20" s="108"/>
      <c r="CW20" s="108"/>
      <c r="CX20" s="108"/>
      <c r="CY20" s="108"/>
      <c r="CZ20" s="108"/>
      <c r="DA20" s="108"/>
      <c r="DB20" s="108"/>
      <c r="DC20" s="108"/>
      <c r="DD20" s="108"/>
      <c r="DE20" s="108"/>
      <c r="DF20" s="108"/>
      <c r="DG20" s="108"/>
      <c r="DH20" s="108"/>
      <c r="DI20" s="108"/>
      <c r="DJ20" s="108"/>
      <c r="DK20" s="108"/>
      <c r="DL20" s="108"/>
      <c r="DM20" s="108"/>
      <c r="DN20" s="108"/>
      <c r="EF20" s="94"/>
      <c r="EG20" s="94"/>
      <c r="EH20" s="106"/>
    </row>
    <row r="21" customFormat="false" ht="44.25" hidden="false" customHeight="true" outlineLevel="0" collapsed="false">
      <c r="AO21" s="79"/>
      <c r="EF21" s="94"/>
      <c r="EG21" s="94"/>
      <c r="EH21" s="106"/>
    </row>
    <row r="22" customFormat="false" ht="10.5" hidden="false" customHeight="true" outlineLevel="0" collapsed="false">
      <c r="AO22" s="79"/>
      <c r="AZ22" s="108" t="s">
        <v>386</v>
      </c>
      <c r="BA22" s="108"/>
      <c r="BB22" s="108"/>
      <c r="BC22" s="108"/>
      <c r="BD22" s="108"/>
      <c r="BE22" s="108"/>
      <c r="BF22" s="108"/>
      <c r="BG22" s="108"/>
      <c r="BH22" s="108"/>
      <c r="BI22" s="108"/>
      <c r="BJ22" s="108"/>
      <c r="BK22" s="108"/>
      <c r="BL22" s="108"/>
      <c r="BM22" s="108"/>
      <c r="BN22" s="108"/>
      <c r="BO22" s="108"/>
      <c r="BP22" s="108"/>
      <c r="BQ22" s="108"/>
      <c r="BR22" s="108"/>
      <c r="BS22" s="108"/>
      <c r="BT22" s="108"/>
      <c r="BU22" s="108"/>
      <c r="BV22" s="108"/>
      <c r="BW22" s="108"/>
      <c r="BX22" s="108"/>
      <c r="BY22" s="108"/>
      <c r="BZ22" s="108"/>
      <c r="CA22" s="108"/>
      <c r="CB22" s="108"/>
      <c r="CC22" s="109"/>
      <c r="CD22" s="109"/>
      <c r="CE22" s="109"/>
      <c r="CF22" s="109"/>
      <c r="CG22" s="109"/>
      <c r="CH22" s="109"/>
      <c r="CI22" s="109"/>
      <c r="CJ22" s="109"/>
      <c r="CK22" s="109"/>
      <c r="CL22" s="109"/>
      <c r="CM22" s="109"/>
      <c r="CN22" s="109"/>
      <c r="CO22" s="109"/>
      <c r="CP22" s="109"/>
      <c r="CQ22" s="109"/>
      <c r="CR22" s="109"/>
      <c r="CS22" s="109"/>
      <c r="CT22" s="109"/>
      <c r="CU22" s="109"/>
      <c r="CV22" s="109"/>
      <c r="DA22" s="78" t="s">
        <v>387</v>
      </c>
      <c r="DO22" s="110"/>
      <c r="DP22" s="110"/>
      <c r="DQ22" s="110"/>
      <c r="DR22" s="110"/>
      <c r="DS22" s="110"/>
      <c r="DT22" s="110"/>
      <c r="DU22" s="110"/>
      <c r="DV22" s="110"/>
      <c r="DW22" s="110"/>
      <c r="DX22" s="110"/>
      <c r="DY22" s="110"/>
      <c r="DZ22" s="110"/>
      <c r="EA22" s="110"/>
      <c r="EB22" s="110"/>
      <c r="EC22" s="110"/>
      <c r="ED22" s="78" t="s">
        <v>388</v>
      </c>
      <c r="EH22" s="106"/>
    </row>
    <row r="23" customFormat="false" ht="10.25" hidden="false" customHeight="false" outlineLevel="0" collapsed="false">
      <c r="AO23" s="88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111"/>
      <c r="EG23" s="111"/>
      <c r="EH23" s="112"/>
    </row>
    <row r="29" customFormat="false" ht="21.75" hidden="false" customHeight="true" outlineLevel="0" collapsed="false"/>
  </sheetData>
  <mergeCells count="48">
    <mergeCell ref="A1:EH1"/>
    <mergeCell ref="A2:EH2"/>
    <mergeCell ref="E5:T5"/>
    <mergeCell ref="BZ5:CI8"/>
    <mergeCell ref="CJ5:CP8"/>
    <mergeCell ref="CQ5:CY8"/>
    <mergeCell ref="CZ5:DH8"/>
    <mergeCell ref="DI5:DP8"/>
    <mergeCell ref="DQ5:DX8"/>
    <mergeCell ref="DY5:EH8"/>
    <mergeCell ref="Q7:BH7"/>
    <mergeCell ref="A8:BH8"/>
    <mergeCell ref="A9:Q9"/>
    <mergeCell ref="R9:Y9"/>
    <mergeCell ref="AG9:BA9"/>
    <mergeCell ref="BB9:BE9"/>
    <mergeCell ref="BZ9:CI9"/>
    <mergeCell ref="CJ9:CP9"/>
    <mergeCell ref="CQ9:CY9"/>
    <mergeCell ref="CZ9:DH9"/>
    <mergeCell ref="DI9:DP9"/>
    <mergeCell ref="DQ9:DX9"/>
    <mergeCell ref="DY9:EH9"/>
    <mergeCell ref="BZ10:CI10"/>
    <mergeCell ref="CJ10:CP10"/>
    <mergeCell ref="CQ10:CY10"/>
    <mergeCell ref="CZ10:DH10"/>
    <mergeCell ref="DI10:DP10"/>
    <mergeCell ref="DQ10:DX10"/>
    <mergeCell ref="DY10:EH10"/>
    <mergeCell ref="C12:AE20"/>
    <mergeCell ref="AO13:BE15"/>
    <mergeCell ref="BF13:CE15"/>
    <mergeCell ref="CF13:CY15"/>
    <mergeCell ref="CZ13:DQ15"/>
    <mergeCell ref="DR13:EH15"/>
    <mergeCell ref="AO16:BE16"/>
    <mergeCell ref="BF16:CE16"/>
    <mergeCell ref="CF16:CY16"/>
    <mergeCell ref="CZ16:DQ16"/>
    <mergeCell ref="DR16:EH16"/>
    <mergeCell ref="AZ17:CD17"/>
    <mergeCell ref="CE17:CY17"/>
    <mergeCell ref="AZ19:CB19"/>
    <mergeCell ref="CC19:DM19"/>
    <mergeCell ref="AZ22:CB22"/>
    <mergeCell ref="CC22:CV22"/>
    <mergeCell ref="DO22:EC22"/>
  </mergeCells>
  <printOptions headings="false" gridLines="false" gridLinesSet="true" horizontalCentered="false" verticalCentered="false"/>
  <pageMargins left="0.39375" right="0.39375" top="0.590277777777778" bottom="0.315277777777778" header="0.19652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&amp;R&amp;7Подготовлено с использованием системы КонсультантПлюс</oddHeader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2C58FBC0BC754B46A8DC9FDDCD337991" ma:contentTypeVersion="0" ma:contentTypeDescription="Создание документа." ma:contentTypeScope="" ma:versionID="443be6cda097309c1807b941d2ef47e3">
  <xsd:schema xmlns:xsd="http://www.w3.org/2001/XMLSchema" xmlns:p="http://schemas.microsoft.com/office/2006/metadata/properties" targetNamespace="http://schemas.microsoft.com/office/2006/metadata/properties" ma:root="true" ma:fieldsID="53974d1da0c14f073d2cc649cae9f3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одержимого" ma:readOnly="true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F58FFB79-D1D7-4D1A-95A2-A2774E2AEF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23D9A0-E158-406E-89D8-C753AA0822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LibreOffice/25.2.6.2$Linux_X86_64 LibreOffice_project/40d1a0e1d5bdf1afaeae24d9ece32bbb00fa66a4</Application>
  <AppVersion>15.0000</AppVersion>
  <Company>ASB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2012-02-27T08:19:11Z</dcterms:created>
  <dc:creator>Пустынников Владимир Владимирович</dc:creator>
  <dc:description/>
  <dc:language>ru-RU</dc:language>
  <cp:lastModifiedBy/>
  <cp:lastPrinted>2023-02-21T14:03:30Z</cp:lastPrinted>
  <dcterms:modified xsi:type="dcterms:W3CDTF">2025-10-22T18:02:46Z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